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xmlns:mc="http://schemas.openxmlformats.org/markup-compatibility/2006">
    <mc:Choice Requires="x15">
      <x15ac:absPath xmlns:x15ac="http://schemas.microsoft.com/office/spreadsheetml/2010/11/ac" url="C:\CSW_Projects\TRAINING\HIS_AEROSPACE_ACADEMY\implementation\00-module-testing\Group_1\"/>
    </mc:Choice>
  </mc:AlternateContent>
  <xr:revisionPtr revIDLastSave="0" documentId="13_ncr:1_{E8AC8FA5-C22B-4BD7-9C60-74F3C00CE177}" xr6:coauthVersionLast="47" xr6:coauthVersionMax="47" xr10:uidLastSave="{00000000-0000-0000-0000-000000000000}"/>
  <workbookProtection lockStructure="1"/>
  <bookViews>
    <workbookView xWindow="28680" yWindow="-120" windowWidth="29040" windowHeight="15840" tabRatio="710" activeTab="3" xr2:uid="{00000000-000D-0000-FFFF-FFFF00000000}"/>
  </bookViews>
  <sheets>
    <sheet name="Cover Sheet" sheetId="1" r:id="rId1"/>
    <sheet name="History Log" sheetId="9" state="hidden" r:id="rId2"/>
    <sheet name="Test Plan" sheetId="11" r:id="rId3"/>
    <sheet name="Test Cases" sheetId="10" r:id="rId4"/>
    <sheet name="SDD-TCS Traceability" sheetId="13" state="hidden" r:id="rId5"/>
    <sheet name="References" sheetId="12" state="hidden" r:id="rId6"/>
    <sheet name="Data Completion" sheetId="14" r:id="rId7"/>
    <sheet name="Logic Coverage" sheetId="15" r:id="rId8"/>
    <sheet name="Stub Files" sheetId="16" r:id="rId9"/>
  </sheets>
  <definedNames>
    <definedName name="CoverSheetRevHistDescriptions">References!$G$41:$G$48</definedName>
    <definedName name="FunctionsList" localSheetId="7">#REF!</definedName>
    <definedName name="FunctionsList" localSheetId="8">#REF!</definedName>
    <definedName name="FunctionsList">#REF!</definedName>
    <definedName name="Input_Variables">References!$D$71:$D$74</definedName>
    <definedName name="IRT">References!$D$90:$D$94</definedName>
    <definedName name="LDRA_automation">References!$D$81:$D$82</definedName>
    <definedName name="MOD_PASS_FAIL">References!$D$13:$D$14</definedName>
    <definedName name="ModuleTestingActivities">References!$D$18:$D$19</definedName>
    <definedName name="ModuleTestingStatus">References!$D$5:$D$10</definedName>
    <definedName name="NumberOfSheets">GET.WORKBOOK(1)&amp;T(NOW())</definedName>
    <definedName name="Output_Variables">References!$D$77:$D$78</definedName>
    <definedName name="_xlnm.Print_Area" localSheetId="0">'Cover Sheet'!$A:$H</definedName>
    <definedName name="_xlnm.Print_Area" localSheetId="1">'History Log'!$B:$G</definedName>
    <definedName name="_xlnm.Print_Area" localSheetId="5">References!$D:$O</definedName>
    <definedName name="_xlnm.Print_Area" localSheetId="3">'Test Cases'!$B:$Z</definedName>
    <definedName name="_xlnm.Print_Area" localSheetId="2">'Test Plan'!$B:$D</definedName>
    <definedName name="Responsible">References!$D$22:$D$38</definedName>
    <definedName name="ResponsibleFullname">References!$E$22:$E$38</definedName>
    <definedName name="RIDsClassification">References!$D$41:$D$43</definedName>
    <definedName name="RIDsStatus">References!$D$48:$D$49</definedName>
    <definedName name="Stub_Type">'Test Cases'!#REF!</definedName>
    <definedName name="StubbingTypes">References!$D$55:$D$62</definedName>
    <definedName name="TCPurposeTemplate">References!$D$66:$D$68</definedName>
  </definedNames>
  <calcPr calcId="191029"/>
  <customWorkbookViews>
    <customWorkbookView name="Simon Kampa - Personal View" guid="{186BA66B-1FFC-43CE-B9B2-CA76E0CBC62F}" mergeInterval="0" personalView="1" maximized="1" xWindow="1" yWindow="1" windowWidth="1440" windowHeight="638" tabRatio="810" activeSheetId="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3" i="11" l="1"/>
  <c r="B3" i="10" s="1"/>
  <c r="B11" i="11" l="1"/>
  <c r="B1" i="11"/>
  <c r="B2" i="13"/>
  <c r="B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Mauro Gameiro</author>
  </authors>
  <commentList>
    <comment ref="B1" authorId="0" shapeId="0" xr:uid="{00000000-0006-0000-0200-000001000000}">
      <text>
        <r>
          <rPr>
            <b/>
            <sz val="9"/>
            <color indexed="81"/>
            <rFont val="Tahoma"/>
            <family val="2"/>
          </rPr>
          <t>Mauro Gameiro:</t>
        </r>
        <r>
          <rPr>
            <sz val="9"/>
            <color indexed="81"/>
            <rFont val="Tahoma"/>
            <family val="2"/>
          </rPr>
          <t xml:space="preserve">
Test cases should have only one divider splitting them, e.g.:
 Test case 1 (ID) starts at row 3
 Test case 2 (ID) starts at row 11
 Test case 3 (ID) starts at row 19
 ...
Test Cases correspond to Test Sequences in LDRA
Test Case ID should be used as Test Sequence name in LDRA
Export two TCFs for the same Test Sequence adding the following suffixes:
  _LGB (Light Grey Box) e.g. IDUVV-TCS-CSWT-IOPF-001-001A_LGB.tcf
  _DGB (Dark Grey Box) e.g. IDUVV-TCS-CSWT-IOPF-001-001A_DGB.tcf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Mauro Gameiro</author>
    <author>bpereira</author>
    <author>mnordeste</author>
  </authors>
  <commentList>
    <comment ref="A2" authorId="0" shapeId="0" xr:uid="{00000000-0006-0000-0300-000001000000}">
      <text>
        <r>
          <rPr>
            <sz val="10"/>
            <color indexed="81"/>
            <rFont val="Courier New"/>
            <family val="3"/>
          </rPr>
          <t xml:space="preserve">
Use small light splitter between test cases from the same test sequence
Use bigger light splitter between test cases from different test sequences for the same test item
Use bigger dark splitter between test cases for different test items
</t>
        </r>
      </text>
    </comment>
    <comment ref="B2" authorId="0" shapeId="0" xr:uid="{00000000-0006-0000-0300-000002000000}">
      <text>
        <r>
          <rPr>
            <sz val="8"/>
            <color indexed="81"/>
            <rFont val="Tahoma"/>
            <family val="2"/>
          </rPr>
          <t xml:space="preserve">
</t>
        </r>
        <r>
          <rPr>
            <sz val="10"/>
            <color indexed="81"/>
            <rFont val="Courier New"/>
            <family val="3"/>
          </rPr>
          <t xml:space="preserve">Test Sequence ID corresponds to Test Sequence Name in LDRA
Observations:
 - Use small light splitter between test cases from the same test sequence
 - Use bigger light splitter between test cases from different test sequences for the same test item 
 - Use bigger dark splitter between test cases for different test items
</t>
        </r>
      </text>
    </comment>
    <comment ref="C2" authorId="0" shapeId="0" xr:uid="{00000000-0006-0000-0300-000003000000}">
      <text>
        <r>
          <rPr>
            <sz val="10"/>
            <color indexed="81"/>
            <rFont val="Courier New"/>
            <family val="3"/>
          </rPr>
          <t xml:space="preserve">
Test Case Number as in LDRA
</t>
        </r>
      </text>
    </comment>
    <comment ref="D2" authorId="0" shapeId="0" xr:uid="{00000000-0006-0000-0300-000004000000}">
      <text>
        <r>
          <rPr>
            <sz val="10"/>
            <color indexed="81"/>
            <rFont val="Courier New"/>
            <family val="3"/>
          </rPr>
          <t xml:space="preserve">
Function under test
</t>
        </r>
      </text>
    </comment>
    <comment ref="E2" authorId="0" shapeId="0" xr:uid="{00000000-0006-0000-0300-000005000000}">
      <text>
        <r>
          <rPr>
            <sz val="10"/>
            <color indexed="81"/>
            <rFont val="Courier New"/>
            <family val="3"/>
          </rPr>
          <t xml:space="preserve">
Starts at 1 and increments by 1 for new functions (i.e. items under test)
It should be used on all rows that have the "Test Sequence ID" filled.
</t>
        </r>
      </text>
    </comment>
    <comment ref="G2" authorId="0" shapeId="0" xr:uid="{00000000-0006-0000-0300-000006000000}">
      <text>
        <r>
          <rPr>
            <sz val="10"/>
            <color indexed="81"/>
            <rFont val="Courier New"/>
            <family val="3"/>
          </rPr>
          <t xml:space="preserve">
Name of the variable as in the C syntax
</t>
        </r>
      </text>
    </comment>
    <comment ref="H2" authorId="1" shapeId="0" xr:uid="{00000000-0006-0000-0300-000007000000}">
      <text>
        <r>
          <rPr>
            <sz val="10"/>
            <color indexed="81"/>
            <rFont val="Courier New"/>
            <family val="3"/>
          </rPr>
          <t xml:space="preserve">
Type of the variable as in the C syntax
</t>
        </r>
      </text>
    </comment>
    <comment ref="I2" authorId="2" shapeId="0" xr:uid="{00000000-0006-0000-0300-000008000000}">
      <text>
        <r>
          <rPr>
            <b/>
            <sz val="10"/>
            <color indexed="81"/>
            <rFont val="Courier New"/>
            <family val="3"/>
          </rPr>
          <t xml:space="preserve">
InputLocal</t>
        </r>
        <r>
          <rPr>
            <sz val="10"/>
            <color indexed="81"/>
            <rFont val="Courier New"/>
            <family val="3"/>
          </rPr>
          <t xml:space="preserve"> : Parameters are passed by local (param's)
</t>
        </r>
        <r>
          <rPr>
            <b/>
            <sz val="10"/>
            <color indexed="81"/>
            <rFont val="Courier New"/>
            <family val="3"/>
          </rPr>
          <t>InputCall</t>
        </r>
        <r>
          <rPr>
            <sz val="10"/>
            <color indexed="81"/>
            <rFont val="Courier New"/>
            <family val="3"/>
          </rPr>
          <t xml:space="preserve">  : Parameters are passed by call (directly)
</t>
        </r>
        <r>
          <rPr>
            <b/>
            <sz val="10"/>
            <color indexed="81"/>
            <rFont val="Courier New"/>
            <family val="3"/>
          </rPr>
          <t>InputRef</t>
        </r>
        <r>
          <rPr>
            <sz val="10"/>
            <color indexed="81"/>
            <rFont val="Courier New"/>
            <family val="3"/>
          </rPr>
          <t xml:space="preserve">   : Creates a user global 
</t>
        </r>
        <r>
          <rPr>
            <b/>
            <sz val="10"/>
            <color indexed="81"/>
            <rFont val="Courier New"/>
            <family val="3"/>
          </rPr>
          <t>InputMem</t>
        </r>
        <r>
          <rPr>
            <sz val="10"/>
            <color indexed="81"/>
            <rFont val="Courier New"/>
            <family val="3"/>
          </rPr>
          <t xml:space="preserve">   : Values passed by memory (global vars)</t>
        </r>
      </text>
    </comment>
    <comment ref="J2" authorId="1" shapeId="0" xr:uid="{00000000-0006-0000-0300-000009000000}">
      <text>
        <r>
          <rPr>
            <sz val="10"/>
            <color indexed="81"/>
            <rFont val="Courier New"/>
            <family val="3"/>
          </rPr>
          <t xml:space="preserve">
Value to be input to the test
</t>
        </r>
      </text>
    </comment>
    <comment ref="K2" authorId="1" shapeId="0" xr:uid="{00000000-0006-0000-0300-00000A000000}">
      <text>
        <r>
          <rPr>
            <sz val="10"/>
            <color indexed="81"/>
            <rFont val="Courier New"/>
            <family val="3"/>
          </rPr>
          <t>Type of Input for TSP Generation:
 - Input
 - Preset Output
 - None
None means that this input will NOT be added to the Inputs/Preset Outputs sections of the TSP.
Please note that if this is not filled in (or is filled in incorrectly) that the TSP generation will fill this out itself with its own suggestions.</t>
        </r>
      </text>
    </comment>
    <comment ref="L2" authorId="0" shapeId="0" xr:uid="{00000000-0006-0000-0300-00000B000000}">
      <text>
        <r>
          <rPr>
            <sz val="10"/>
            <color indexed="81"/>
            <rFont val="Courier New"/>
            <family val="3"/>
          </rPr>
          <t xml:space="preserve">
Variable Input Range Table:
 - MIN
 - MID
 - MAX
TSP Generation will place "NA" when one (or two) of the above are not found.</t>
        </r>
      </text>
    </comment>
    <comment ref="N2" authorId="0" shapeId="0" xr:uid="{00000000-0006-0000-0300-00000C000000}">
      <text>
        <r>
          <rPr>
            <sz val="10"/>
            <color indexed="81"/>
            <rFont val="Courier New"/>
            <family val="3"/>
          </rPr>
          <t xml:space="preserve">
Name of the variable as in the C syntax
Observation: Use % to represent function's return value "variable name"
</t>
        </r>
      </text>
    </comment>
    <comment ref="O2" authorId="1" shapeId="0" xr:uid="{00000000-0006-0000-0300-00000D000000}">
      <text>
        <r>
          <rPr>
            <sz val="10"/>
            <color indexed="81"/>
            <rFont val="Courier New"/>
            <family val="3"/>
          </rPr>
          <t xml:space="preserve">
Type of the variable as in the C syntax
</t>
        </r>
      </text>
    </comment>
    <comment ref="P2" authorId="2" shapeId="0" xr:uid="{00000000-0006-0000-0300-00000E000000}">
      <text>
        <r>
          <rPr>
            <sz val="10"/>
            <color indexed="81"/>
            <rFont val="Courier New"/>
            <family val="3"/>
          </rPr>
          <t xml:space="preserve">
</t>
        </r>
        <r>
          <rPr>
            <b/>
            <sz val="10"/>
            <color indexed="81"/>
            <rFont val="Courier New"/>
            <family val="3"/>
          </rPr>
          <t>OutputGlobal</t>
        </r>
        <r>
          <rPr>
            <sz val="10"/>
            <color indexed="81"/>
            <rFont val="Courier New"/>
            <family val="3"/>
          </rPr>
          <t xml:space="preserve"> : Global Variables
</t>
        </r>
        <r>
          <rPr>
            <b/>
            <sz val="10"/>
            <color indexed="81"/>
            <rFont val="Courier New"/>
            <family val="3"/>
          </rPr>
          <t>OutputReturn</t>
        </r>
        <r>
          <rPr>
            <sz val="10"/>
            <color indexed="81"/>
            <rFont val="Courier New"/>
            <family val="3"/>
          </rPr>
          <t xml:space="preserve"> : Return Values</t>
        </r>
      </text>
    </comment>
    <comment ref="Q2" authorId="1" shapeId="0" xr:uid="{00000000-0006-0000-0300-00000F000000}">
      <text>
        <r>
          <rPr>
            <sz val="10"/>
            <color indexed="81"/>
            <rFont val="Courier New"/>
            <family val="3"/>
          </rPr>
          <t xml:space="preserve">
Value expected after test execution
</t>
        </r>
      </text>
    </comment>
    <comment ref="S2" authorId="0" shapeId="0" xr:uid="{00000000-0006-0000-0300-000010000000}">
      <text>
        <r>
          <rPr>
            <sz val="10"/>
            <color indexed="81"/>
            <rFont val="Courier New"/>
            <family val="3"/>
          </rPr>
          <t xml:space="preserve">
Name of the stubbed function
</t>
        </r>
      </text>
    </comment>
    <comment ref="T2" authorId="0" shapeId="0" xr:uid="{00000000-0006-0000-0300-000011000000}">
      <text>
        <r>
          <rPr>
            <sz val="10"/>
            <color indexed="81"/>
            <rFont val="Courier New"/>
            <family val="3"/>
          </rPr>
          <t xml:space="preserve">
Stubbing types:
 - </t>
        </r>
        <r>
          <rPr>
            <b/>
            <sz val="10"/>
            <color indexed="81"/>
            <rFont val="Courier New"/>
            <family val="3"/>
          </rPr>
          <t>CP on entry</t>
        </r>
        <r>
          <rPr>
            <sz val="10"/>
            <color indexed="81"/>
            <rFont val="Courier New"/>
            <family val="3"/>
          </rPr>
          <t xml:space="preserve"> : Check Parameters on Entry
 - </t>
        </r>
        <r>
          <rPr>
            <b/>
            <sz val="10"/>
            <color indexed="81"/>
            <rFont val="Courier New"/>
            <family val="3"/>
          </rPr>
          <t>CG on entry</t>
        </r>
        <r>
          <rPr>
            <sz val="10"/>
            <color indexed="81"/>
            <rFont val="Courier New"/>
            <family val="3"/>
          </rPr>
          <t xml:space="preserve"> : Check Globals on Entry
 - </t>
        </r>
        <r>
          <rPr>
            <b/>
            <sz val="10"/>
            <color indexed="81"/>
            <rFont val="Courier New"/>
            <family val="3"/>
          </rPr>
          <t>SP on exit</t>
        </r>
        <r>
          <rPr>
            <sz val="10"/>
            <color indexed="81"/>
            <rFont val="Courier New"/>
            <family val="3"/>
          </rPr>
          <t xml:space="preserve">  : Set Parameters on Exit
 - </t>
        </r>
        <r>
          <rPr>
            <b/>
            <sz val="10"/>
            <color indexed="81"/>
            <rFont val="Courier New"/>
            <family val="3"/>
          </rPr>
          <t>CG on exit</t>
        </r>
        <r>
          <rPr>
            <sz val="10"/>
            <color indexed="81"/>
            <rFont val="Courier New"/>
            <family val="3"/>
          </rPr>
          <t xml:space="preserve">  : Check Globals on Exit
 - </t>
        </r>
        <r>
          <rPr>
            <b/>
            <sz val="10"/>
            <color indexed="81"/>
            <rFont val="Courier New"/>
            <family val="3"/>
          </rPr>
          <t>RV on exit</t>
        </r>
        <r>
          <rPr>
            <sz val="10"/>
            <color indexed="81"/>
            <rFont val="Courier New"/>
            <family val="3"/>
          </rPr>
          <t xml:space="preserve">  : Set Return Value on Exit
 - </t>
        </r>
        <r>
          <rPr>
            <b/>
            <sz val="10"/>
            <color indexed="81"/>
            <rFont val="Courier New"/>
            <family val="3"/>
          </rPr>
          <t>Hit order</t>
        </r>
        <r>
          <rPr>
            <sz val="10"/>
            <color indexed="81"/>
            <rFont val="Courier New"/>
            <family val="3"/>
          </rPr>
          <t xml:space="preserve">   : Set Hit Order
 - </t>
        </r>
        <r>
          <rPr>
            <b/>
            <sz val="10"/>
            <color indexed="81"/>
            <rFont val="Courier New"/>
            <family val="3"/>
          </rPr>
          <t>TC Hit Cntr</t>
        </r>
        <r>
          <rPr>
            <sz val="10"/>
            <color indexed="81"/>
            <rFont val="Courier New"/>
            <family val="3"/>
          </rPr>
          <t xml:space="preserve"> : Set Test Case Hit Counter
 - </t>
        </r>
        <r>
          <rPr>
            <b/>
            <sz val="10"/>
            <color indexed="81"/>
            <rFont val="Courier New"/>
            <family val="3"/>
          </rPr>
          <t>SQ Hit Cntr</t>
        </r>
        <r>
          <rPr>
            <sz val="10"/>
            <color indexed="81"/>
            <rFont val="Courier New"/>
            <family val="3"/>
          </rPr>
          <t xml:space="preserve"> : Set Sequence Hit Counter
</t>
        </r>
      </text>
    </comment>
    <comment ref="U2" authorId="0" shapeId="0" xr:uid="{00000000-0006-0000-0300-000012000000}">
      <text>
        <r>
          <rPr>
            <sz val="10"/>
            <color indexed="81"/>
            <rFont val="Courier New"/>
            <family val="3"/>
          </rPr>
          <t xml:space="preserve">
Depends on "Stub Requirement" usage:
 - </t>
        </r>
        <r>
          <rPr>
            <b/>
            <sz val="10"/>
            <color indexed="81"/>
            <rFont val="Courier New"/>
            <family val="3"/>
          </rPr>
          <t>CP on entry</t>
        </r>
        <r>
          <rPr>
            <sz val="10"/>
            <color indexed="81"/>
            <rFont val="Courier New"/>
            <family val="3"/>
          </rPr>
          <t xml:space="preserve"> : Value to be checked on entry
 - </t>
        </r>
        <r>
          <rPr>
            <b/>
            <sz val="10"/>
            <color indexed="81"/>
            <rFont val="Courier New"/>
            <family val="3"/>
          </rPr>
          <t>CG on entry</t>
        </r>
        <r>
          <rPr>
            <sz val="10"/>
            <color indexed="81"/>
            <rFont val="Courier New"/>
            <family val="3"/>
          </rPr>
          <t xml:space="preserve"> : Value to be checked on entry
 - </t>
        </r>
        <r>
          <rPr>
            <b/>
            <sz val="10"/>
            <color indexed="81"/>
            <rFont val="Courier New"/>
            <family val="3"/>
          </rPr>
          <t>SP on exit</t>
        </r>
        <r>
          <rPr>
            <sz val="10"/>
            <color indexed="81"/>
            <rFont val="Courier New"/>
            <family val="3"/>
          </rPr>
          <t xml:space="preserve">  : Value to be set on exit
 - S</t>
        </r>
        <r>
          <rPr>
            <b/>
            <sz val="10"/>
            <color indexed="81"/>
            <rFont val="Courier New"/>
            <family val="3"/>
          </rPr>
          <t>G on exit</t>
        </r>
        <r>
          <rPr>
            <sz val="10"/>
            <color indexed="81"/>
            <rFont val="Courier New"/>
            <family val="3"/>
          </rPr>
          <t xml:space="preserve">  : Value to be set on exit
 - </t>
        </r>
        <r>
          <rPr>
            <b/>
            <sz val="10"/>
            <color indexed="81"/>
            <rFont val="Courier New"/>
            <family val="3"/>
          </rPr>
          <t>RV on exit</t>
        </r>
        <r>
          <rPr>
            <sz val="10"/>
            <color indexed="81"/>
            <rFont val="Courier New"/>
            <family val="3"/>
          </rPr>
          <t xml:space="preserve">  : Return value to be set on exit
 - </t>
        </r>
        <r>
          <rPr>
            <b/>
            <sz val="10"/>
            <color indexed="81"/>
            <rFont val="Courier New"/>
            <family val="3"/>
          </rPr>
          <t>Hit order</t>
        </r>
        <r>
          <rPr>
            <sz val="10"/>
            <color indexed="81"/>
            <rFont val="Courier New"/>
            <family val="3"/>
          </rPr>
          <t xml:space="preserve">   : Hit Order value to be checked
 - </t>
        </r>
        <r>
          <rPr>
            <b/>
            <sz val="10"/>
            <color indexed="81"/>
            <rFont val="Courier New"/>
            <family val="3"/>
          </rPr>
          <t>TC Hit Cntr</t>
        </r>
        <r>
          <rPr>
            <sz val="10"/>
            <color indexed="81"/>
            <rFont val="Courier New"/>
            <family val="3"/>
          </rPr>
          <t xml:space="preserve"> : Test Case Hit Counter value to be checked
 - </t>
        </r>
        <r>
          <rPr>
            <b/>
            <sz val="10"/>
            <color indexed="81"/>
            <rFont val="Courier New"/>
            <family val="3"/>
          </rPr>
          <t>SQ Hit Cntr</t>
        </r>
        <r>
          <rPr>
            <sz val="10"/>
            <color indexed="81"/>
            <rFont val="Courier New"/>
            <family val="3"/>
          </rPr>
          <t xml:space="preserve"> : Set Sequence Hit Counter value to be checked
</t>
        </r>
      </text>
    </comment>
    <comment ref="V2" authorId="0" shapeId="0" xr:uid="{00000000-0006-0000-0300-000013000000}">
      <text>
        <r>
          <rPr>
            <sz val="10"/>
            <color indexed="81"/>
            <rFont val="Courier New"/>
            <family val="3"/>
          </rPr>
          <t xml:space="preserve">
Name of the variable as in the C syntax
</t>
        </r>
      </text>
    </comment>
    <comment ref="W2" authorId="1" shapeId="0" xr:uid="{00000000-0006-0000-0300-000014000000}">
      <text>
        <r>
          <rPr>
            <sz val="10"/>
            <color indexed="81"/>
            <rFont val="Courier New"/>
            <family val="3"/>
          </rPr>
          <t xml:space="preserve">
Type of the variable as in the C syntax
</t>
        </r>
      </text>
    </comment>
    <comment ref="Y2" authorId="0" shapeId="0" xr:uid="{00000000-0006-0000-0300-000015000000}">
      <text>
        <r>
          <rPr>
            <sz val="10"/>
            <color indexed="81"/>
            <rFont val="Courier New"/>
            <family val="3"/>
          </rPr>
          <t>Stub variable Input Range Table:
 - MIN
 - MID
 - MAX
TSP Generation will place "NA" when one (or two) of the above are not found.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Mauro Gameiro</author>
  </authors>
  <commentList>
    <comment ref="A1" authorId="0" shapeId="0" xr:uid="{00000000-0006-0000-0400-000001000000}">
      <text>
        <r>
          <rPr>
            <b/>
            <sz val="8"/>
            <color indexed="81"/>
            <rFont val="Tahoma"/>
            <family val="2"/>
          </rPr>
          <t>Mauro Gameiro:</t>
        </r>
        <r>
          <rPr>
            <sz val="8"/>
            <color indexed="81"/>
            <rFont val="Tahoma"/>
            <family val="2"/>
          </rPr>
          <t xml:space="preserve">
Execute macro "UpdateSDDvsTCSTraceabilityMatrix" to automatically update the traceability matrix</t>
        </r>
      </text>
    </comment>
  </commentList>
</comments>
</file>

<file path=xl/sharedStrings.xml><?xml version="1.0" encoding="utf-8"?>
<sst xmlns="http://schemas.openxmlformats.org/spreadsheetml/2006/main" count="499" uniqueCount="228">
  <si>
    <t>Comment</t>
  </si>
  <si>
    <t>Minor</t>
  </si>
  <si>
    <t>Major</t>
  </si>
  <si>
    <t>dependable technologies for critical systems</t>
  </si>
  <si>
    <r>
      <t xml:space="preserve">RESTRICTION ON USE OF DATA
</t>
    </r>
    <r>
      <rPr>
        <sz val="10"/>
        <rFont val="Arial"/>
        <family val="2"/>
      </rPr>
      <t>The work described in this report was performed under GE Aviation contract. Responsibility for the contents resides in the author or organization that prepared it.</t>
    </r>
  </si>
  <si>
    <t>Clients / Partners:</t>
  </si>
  <si>
    <t>GE Aviation Systems</t>
  </si>
  <si>
    <t>Status</t>
  </si>
  <si>
    <t>Open</t>
  </si>
  <si>
    <t>Closed</t>
  </si>
  <si>
    <t>Observations</t>
  </si>
  <si>
    <t>Date</t>
  </si>
  <si>
    <t>State</t>
  </si>
  <si>
    <t>Resp.</t>
  </si>
  <si>
    <t>Variable</t>
  </si>
  <si>
    <t>Value</t>
  </si>
  <si>
    <t>Test Item</t>
  </si>
  <si>
    <t>Responsibility</t>
  </si>
  <si>
    <t>Purpose</t>
  </si>
  <si>
    <t>Author(s)</t>
  </si>
  <si>
    <t>Special Procedural Requirements</t>
  </si>
  <si>
    <t>Inter-case Dependencies</t>
  </si>
  <si>
    <t>Revision History:</t>
  </si>
  <si>
    <t>Revision</t>
  </si>
  <si>
    <t>Issue</t>
  </si>
  <si>
    <t>Description</t>
  </si>
  <si>
    <t>Author</t>
  </si>
  <si>
    <t>IRT</t>
  </si>
  <si>
    <t>Inputs Specification</t>
  </si>
  <si>
    <t>Outputs Specification</t>
  </si>
  <si>
    <t>Stub Function</t>
  </si>
  <si>
    <t>Stubbing Requirements</t>
  </si>
  <si>
    <t>Received</t>
  </si>
  <si>
    <t>Logged</t>
  </si>
  <si>
    <t>The file has been logged in GEA's configuration management system.</t>
  </si>
  <si>
    <t>Responsible</t>
  </si>
  <si>
    <t>Module Testing Status</t>
  </si>
  <si>
    <t>Module Testing States</t>
  </si>
  <si>
    <t>RIDs Classification</t>
  </si>
  <si>
    <t>RIDs Status</t>
  </si>
  <si>
    <t>Stubbing Types</t>
  </si>
  <si>
    <t>CP on entry</t>
  </si>
  <si>
    <t>Check Parameters on Entry</t>
  </si>
  <si>
    <t>CG on entry</t>
  </si>
  <si>
    <t>RV on exit</t>
  </si>
  <si>
    <t>Hit order</t>
  </si>
  <si>
    <t>TC Hit Cntr</t>
  </si>
  <si>
    <t>SQ Hit Cntr</t>
  </si>
  <si>
    <t>Check Globals on Entry</t>
  </si>
  <si>
    <t>Set Return Value on Exit</t>
  </si>
  <si>
    <t>Set Hit Order</t>
  </si>
  <si>
    <t>Set Test Case Hit Counter</t>
  </si>
  <si>
    <t>Set Sequence Hit Counter</t>
  </si>
  <si>
    <t>Not traced</t>
  </si>
  <si>
    <t xml:space="preserve">                              Test Item
Test Case Identifier</t>
  </si>
  <si>
    <t>No</t>
  </si>
  <si>
    <t>SP on exit</t>
  </si>
  <si>
    <t>Set Parameters on Exit</t>
  </si>
  <si>
    <t>Low level requirements-based testing of the test item.</t>
  </si>
  <si>
    <t>Coverage based testing of the test item.</t>
  </si>
  <si>
    <t>Robustness testing of the test item.</t>
  </si>
  <si>
    <t>Test Case Purpose Template</t>
  </si>
  <si>
    <t>Input variables</t>
  </si>
  <si>
    <t>Values passed by reference (pointers)</t>
  </si>
  <si>
    <r>
      <t>Values passed by memory (global variables)</t>
    </r>
    <r>
      <rPr>
        <u/>
        <sz val="10"/>
        <color indexed="21"/>
        <rFont val="Arial"/>
        <family val="2"/>
      </rPr>
      <t xml:space="preserve"> </t>
    </r>
  </si>
  <si>
    <t>Global variables</t>
  </si>
  <si>
    <t>Return Value</t>
  </si>
  <si>
    <t>Output variables</t>
  </si>
  <si>
    <t>LDRA Usage</t>
  </si>
  <si>
    <t>LDRA automation</t>
  </si>
  <si>
    <t>Yes</t>
  </si>
  <si>
    <t>Comments</t>
  </si>
  <si>
    <t>Test Sequence ID</t>
  </si>
  <si>
    <t>Test Case No</t>
  </si>
  <si>
    <t>C Type</t>
  </si>
  <si>
    <t>InputRef</t>
  </si>
  <si>
    <t>InputMem</t>
  </si>
  <si>
    <t>OutputGlobal</t>
  </si>
  <si>
    <t>OutputReturn</t>
  </si>
  <si>
    <t>Stub Requirement</t>
  </si>
  <si>
    <t>File name</t>
  </si>
  <si>
    <t>Test Item Number</t>
  </si>
  <si>
    <t>Input Range Table</t>
  </si>
  <si>
    <t>InputLocal</t>
  </si>
  <si>
    <t>InputCall</t>
  </si>
  <si>
    <t>Parameters are passed by local</t>
  </si>
  <si>
    <t>Parameters are passed by call (directly)</t>
  </si>
  <si>
    <t>Template Version: 5</t>
  </si>
  <si>
    <t>MG</t>
  </si>
  <si>
    <t>Mauro Gameiro</t>
  </si>
  <si>
    <t>RA</t>
  </si>
  <si>
    <t>Ricardo Armas</t>
  </si>
  <si>
    <t>RM</t>
  </si>
  <si>
    <t>Richard Meers</t>
  </si>
  <si>
    <t>RK</t>
  </si>
  <si>
    <t>Richard Kowalkowski</t>
  </si>
  <si>
    <t>JH</t>
  </si>
  <si>
    <t>John Haigh</t>
  </si>
  <si>
    <t>TS</t>
  </si>
  <si>
    <t>Tony Smith</t>
  </si>
  <si>
    <t>When the file is first received by CSW</t>
  </si>
  <si>
    <t>www.criticalsoftware.com</t>
  </si>
  <si>
    <t>GEA revision numbers</t>
  </si>
  <si>
    <t>Cover sheet on-update start row</t>
  </si>
  <si>
    <t>EP</t>
  </si>
  <si>
    <t>Eduardo Pacheco</t>
  </si>
  <si>
    <t>MR</t>
  </si>
  <si>
    <t>Mário Rui Baptista</t>
  </si>
  <si>
    <t>VC</t>
  </si>
  <si>
    <t>Vitor Conceição</t>
  </si>
  <si>
    <t>GQ</t>
  </si>
  <si>
    <t>Gustavo Quintela</t>
  </si>
  <si>
    <t>AF</t>
  </si>
  <si>
    <t>André Ferreira</t>
  </si>
  <si>
    <t>JS</t>
  </si>
  <si>
    <t>João Sousa</t>
  </si>
  <si>
    <t>Worksheets description:</t>
  </si>
  <si>
    <t>History Log</t>
  </si>
  <si>
    <t>Cover Sheet - Revision History - Description:</t>
  </si>
  <si>
    <t>Updated before delivery to GEA</t>
  </si>
  <si>
    <t>RIDs answer</t>
  </si>
  <si>
    <t>Set agreed recommendation</t>
  </si>
  <si>
    <t>Initial module testing</t>
  </si>
  <si>
    <t>Test Plan</t>
  </si>
  <si>
    <t>Test Cases</t>
  </si>
  <si>
    <t>Presents the Module Testing test cases namely the inputs configuration, expected outputs and stubbing requirements.</t>
  </si>
  <si>
    <t>SDD-TCS Traceability</t>
  </si>
  <si>
    <t>Presents the low level requirements/test cases traceability.</t>
  </si>
  <si>
    <t>LDRA "TCF generator" jar file location</t>
  </si>
  <si>
    <t>..\..\tools\tcf-generator\ldra-9.1.1\generator_cmd.jar</t>
  </si>
  <si>
    <r>
      <t>PPCU:</t>
    </r>
    <r>
      <rPr>
        <sz val="9"/>
        <color rgb="FFFF0000"/>
        <rFont val="Arial"/>
        <family val="2"/>
      </rPr>
      <t>OBJECT_NAME</t>
    </r>
    <r>
      <rPr>
        <sz val="9"/>
        <rFont val="Arial"/>
        <family val="2"/>
      </rPr>
      <t>_MSP.AA-DESIGN;X
PPCU:</t>
    </r>
    <r>
      <rPr>
        <sz val="9"/>
        <color rgb="FFFF0000"/>
        <rFont val="Arial"/>
        <family val="2"/>
      </rPr>
      <t>OBJECT_NAME</t>
    </r>
    <r>
      <rPr>
        <sz val="9"/>
        <rFont val="Arial"/>
        <family val="2"/>
      </rPr>
      <t>_C.AA-SOURCE_CT1;Y
PPCU:</t>
    </r>
    <r>
      <rPr>
        <sz val="9"/>
        <color rgb="FFFF0000"/>
        <rFont val="Arial"/>
        <family val="2"/>
      </rPr>
      <t>OBJECT_NAME</t>
    </r>
    <r>
      <rPr>
        <sz val="9"/>
        <rFont val="Arial"/>
        <family val="2"/>
      </rPr>
      <t>_H.AA-SOURCE_CT1;Z</t>
    </r>
  </si>
  <si>
    <t>Expected Value</t>
  </si>
  <si>
    <t>MB</t>
  </si>
  <si>
    <t>Miguel Borges</t>
  </si>
  <si>
    <t>JR</t>
  </si>
  <si>
    <t>João Rodrigues</t>
  </si>
  <si>
    <t>TF</t>
  </si>
  <si>
    <t>Teresa Frazão</t>
  </si>
  <si>
    <t>In Progress</t>
  </si>
  <si>
    <t>The Test Specification is being written</t>
  </si>
  <si>
    <t>TSP</t>
  </si>
  <si>
    <t>Test specification rework</t>
  </si>
  <si>
    <t>GEA Technical Review</t>
  </si>
  <si>
    <t>GEA doing Technical Review of MOD_TSP_SCR</t>
  </si>
  <si>
    <t>TRP</t>
  </si>
  <si>
    <t>Rework</t>
  </si>
  <si>
    <t>Module Testing Spec</t>
  </si>
  <si>
    <t>Module Testing Results</t>
  </si>
  <si>
    <t>Scrutiny</t>
  </si>
  <si>
    <t>The file is under internal scrutiny.</t>
  </si>
  <si>
    <t>MM</t>
  </si>
  <si>
    <t>Miguel Monteiro</t>
  </si>
  <si>
    <t>JB</t>
  </si>
  <si>
    <t>José Brandão</t>
  </si>
  <si>
    <t>Pass</t>
  </si>
  <si>
    <t>Fail</t>
  </si>
  <si>
    <t>Ready for internal scrutiny</t>
  </si>
  <si>
    <t>Updates after internal scrutiny</t>
  </si>
  <si>
    <t>Being reworked</t>
  </si>
  <si>
    <t>Module accepted</t>
  </si>
  <si>
    <t>SG on exit</t>
  </si>
  <si>
    <t>Set Globals on Exit</t>
  </si>
  <si>
    <t>Presents the module testing specification history.
For details on the status flow please refer to the test plan.</t>
  </si>
  <si>
    <t>Presents the Module Testing test cases generic information (e.g. test cases identifier, test case responsible, test case purpose, …).</t>
  </si>
  <si>
    <t>Module Test Specification</t>
  </si>
  <si>
    <t>CSW</t>
  </si>
  <si>
    <t>MIN</t>
  </si>
  <si>
    <t>MID</t>
  </si>
  <si>
    <t>MAX</t>
  </si>
  <si>
    <t>NA</t>
  </si>
  <si>
    <t>Type</t>
  </si>
  <si>
    <t>Requirement</t>
  </si>
  <si>
    <t>Code</t>
  </si>
  <si>
    <t>TRUE/N-1</t>
  </si>
  <si>
    <t>FALSE/N</t>
  </si>
  <si>
    <t>N+1</t>
  </si>
  <si>
    <t>Singularity</t>
  </si>
  <si>
    <t>Discontinuity</t>
  </si>
  <si>
    <t>Data Completion</t>
  </si>
  <si>
    <t>A</t>
  </si>
  <si>
    <t>B</t>
  </si>
  <si>
    <t>A &amp;&amp; B</t>
  </si>
  <si>
    <t>A &amp;&amp; !B</t>
  </si>
  <si>
    <t>!A &amp;&amp; B</t>
  </si>
  <si>
    <t>!A &amp;&amp; !B</t>
  </si>
  <si>
    <t>Input Type</t>
  </si>
  <si>
    <t>Preset Output</t>
  </si>
  <si>
    <t>Input Types</t>
  </si>
  <si>
    <t>Input</t>
  </si>
  <si>
    <t>None</t>
  </si>
  <si>
    <t>Auto</t>
  </si>
  <si>
    <t>Use (only TRUE are used)</t>
  </si>
  <si>
    <t>Procedure name</t>
  </si>
  <si>
    <t>Code file (located in Stubs\)</t>
  </si>
  <si>
    <t>Parameter Types (comma separated, may be empty)</t>
  </si>
  <si>
    <t>input_1</t>
  </si>
  <si>
    <t>UINT32</t>
  </si>
  <si>
    <t>input_2</t>
  </si>
  <si>
    <t>valid</t>
  </si>
  <si>
    <t>BOOLEAN*</t>
  </si>
  <si>
    <t>&amp;user_valid</t>
  </si>
  <si>
    <t>user_valid</t>
  </si>
  <si>
    <t>BOOLEAN</t>
  </si>
  <si>
    <t>%</t>
  </si>
  <si>
    <t>Test Case Rationale:</t>
  </si>
  <si>
    <t>a. Prototype function is correct</t>
  </si>
  <si>
    <t>Verifies:</t>
  </si>
  <si>
    <t>Operation is correct</t>
  </si>
  <si>
    <t>&amp;user_valid#</t>
  </si>
  <si>
    <t>input_1 &gt;= 0</t>
  </si>
  <si>
    <t>Sum-02</t>
  </si>
  <si>
    <t>input_1 &lt;= 200</t>
  </si>
  <si>
    <t>input_2 &gt;= 0</t>
  </si>
  <si>
    <t>input_2 &lt;= 200</t>
  </si>
  <si>
    <t>TC1</t>
  </si>
  <si>
    <t>TC2</t>
  </si>
  <si>
    <t>TC3</t>
  </si>
  <si>
    <t>(input_1 &gt;= 0) &amp;&amp; (input_1 &lt;= 200)</t>
  </si>
  <si>
    <t>(input_2 &gt;= 0) &amp;&amp; (input_2 &lt;= 200)</t>
  </si>
  <si>
    <t>input_2 &gt;= 0</t>
  </si>
  <si>
    <t>input_2 &lt;= 200</t>
  </si>
  <si>
    <t>TC4</t>
  </si>
  <si>
    <t>Sum-03</t>
  </si>
  <si>
    <t>TC5</t>
  </si>
  <si>
    <t>Due to the fact that input_1 and input_2 are UINT32 variables, Branch and MC/DC coverage won't reach 100%. This happens because both variables will never be less than 0 (the lesser limit), limiting their Logic Coverage.</t>
  </si>
  <si>
    <t>division.c</t>
  </si>
  <si>
    <t>input_2 &lt; 0</t>
  </si>
  <si>
    <t>division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</si>
</sst>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0"/>
  </numFmts>
  <fonts count="42" x14ac:knownFonts="1">
    <font>
      <sz val="10"/>
      <name val="Arial"/>
      <family val="2"/>
    </font>
    <font>
      <sz val="11"/>
      <color theme="1"/>
      <name val="Calibri"/>
      <family val="2"/>
      <scheme val="minor"/>
    </font>
    <font>
      <sz val="11"/>
      <color theme="1"/>
      <name val="Calibri"/>
      <family val="2"/>
      <scheme val="minor"/>
    </font>
    <font>
      <sz val="10"/>
      <name val="Arial"/>
      <family val="2"/>
    </font>
    <font>
      <i/>
      <sz val="10"/>
      <name val="Arial"/>
      <family val="2"/>
    </font>
    <font>
      <b/>
      <sz val="10"/>
      <name val="Arial"/>
      <family val="2"/>
    </font>
    <font>
      <sz val="8"/>
      <name val="Arial"/>
      <family val="2"/>
    </font>
    <font>
      <sz val="10"/>
      <name val="Arial"/>
      <family val="2"/>
    </font>
    <font>
      <sz val="10"/>
      <color indexed="8"/>
      <name val="Arial"/>
      <family val="2"/>
    </font>
    <font>
      <sz val="24"/>
      <color indexed="54"/>
      <name val="Arial"/>
      <family val="2"/>
    </font>
    <font>
      <sz val="10"/>
      <color indexed="54"/>
      <name val="Arial"/>
      <family val="2"/>
    </font>
    <font>
      <b/>
      <i/>
      <sz val="10"/>
      <color indexed="54"/>
      <name val="Arial"/>
      <family val="2"/>
    </font>
    <font>
      <b/>
      <i/>
      <sz val="12"/>
      <color indexed="22"/>
      <name val="Arial"/>
      <family val="2"/>
    </font>
    <font>
      <sz val="9"/>
      <color indexed="22"/>
      <name val="Arial"/>
      <family val="2"/>
    </font>
    <font>
      <sz val="28"/>
      <color indexed="54"/>
      <name val="Arial"/>
      <family val="2"/>
    </font>
    <font>
      <sz val="18"/>
      <color indexed="54"/>
      <name val="Arial"/>
      <family val="2"/>
    </font>
    <font>
      <b/>
      <i/>
      <sz val="10"/>
      <color indexed="54"/>
      <name val="Arial"/>
      <family val="2"/>
    </font>
    <font>
      <b/>
      <sz val="10"/>
      <color indexed="54"/>
      <name val="Arial"/>
      <family val="2"/>
    </font>
    <font>
      <sz val="8"/>
      <color indexed="8"/>
      <name val="Arial"/>
      <family val="2"/>
    </font>
    <font>
      <sz val="8"/>
      <color indexed="81"/>
      <name val="Tahoma"/>
      <family val="2"/>
    </font>
    <font>
      <b/>
      <sz val="8"/>
      <color indexed="81"/>
      <name val="Tahoma"/>
      <family val="2"/>
    </font>
    <font>
      <b/>
      <sz val="12"/>
      <color indexed="54"/>
      <name val="Arial"/>
      <family val="2"/>
    </font>
    <font>
      <b/>
      <sz val="11"/>
      <color indexed="54"/>
      <name val="Arial"/>
      <family val="2"/>
    </font>
    <font>
      <sz val="10"/>
      <color indexed="16"/>
      <name val="Arial"/>
      <family val="2"/>
    </font>
    <font>
      <sz val="9"/>
      <name val="Arial"/>
      <family val="2"/>
    </font>
    <font>
      <sz val="8"/>
      <name val="Arial"/>
      <family val="2"/>
    </font>
    <font>
      <i/>
      <sz val="8"/>
      <color indexed="22"/>
      <name val="Arial"/>
      <family val="2"/>
    </font>
    <font>
      <sz val="8"/>
      <color indexed="8"/>
      <name val="Arial"/>
      <family val="2"/>
    </font>
    <font>
      <sz val="9"/>
      <name val="Arial"/>
      <family val="2"/>
    </font>
    <font>
      <u/>
      <sz val="10"/>
      <color indexed="21"/>
      <name val="Arial"/>
      <family val="2"/>
    </font>
    <font>
      <b/>
      <sz val="9"/>
      <name val="Arial"/>
      <family val="2"/>
    </font>
    <font>
      <sz val="11"/>
      <color theme="0"/>
      <name val="Calibri"/>
      <family val="2"/>
      <scheme val="minor"/>
    </font>
    <font>
      <b/>
      <sz val="9"/>
      <color indexed="54"/>
      <name val="Arial"/>
      <family val="2"/>
    </font>
    <font>
      <sz val="9"/>
      <color indexed="81"/>
      <name val="Tahoma"/>
      <family val="2"/>
    </font>
    <font>
      <b/>
      <sz val="9"/>
      <color indexed="81"/>
      <name val="Tahoma"/>
      <family val="2"/>
    </font>
    <font>
      <sz val="10"/>
      <color theme="0" tint="-0.249977111117893"/>
      <name val="Arial"/>
      <family val="2"/>
    </font>
    <font>
      <sz val="9"/>
      <color indexed="16"/>
      <name val="Arial"/>
      <family val="2"/>
    </font>
    <font>
      <sz val="9"/>
      <color indexed="8"/>
      <name val="Arial"/>
      <family val="2"/>
    </font>
    <font>
      <sz val="9"/>
      <color rgb="FFFF0000"/>
      <name val="Arial"/>
      <family val="2"/>
    </font>
    <font>
      <b/>
      <sz val="10"/>
      <color indexed="81"/>
      <name val="Courier New"/>
      <family val="3"/>
    </font>
    <font>
      <sz val="10"/>
      <color indexed="81"/>
      <name val="Courier New"/>
      <family val="3"/>
    </font>
    <font>
      <sz val="11"/>
      <name val="Arial"/>
      <family val="2"/>
    </font>
  </fonts>
  <fills count="9">
    <fill>
      <patternFill patternType="none"/>
    </fill>
    <fill>
      <patternFill patternType="gray125"/>
    </fill>
    <fill>
      <patternFill patternType="lightGray"/>
    </fill>
    <fill>
      <patternFill patternType="mediumGray"/>
    </fill>
    <fill>
      <patternFill patternType="solid">
        <fgColor indexed="9"/>
        <bgColor indexed="26"/>
      </patternFill>
    </fill>
    <fill>
      <patternFill patternType="solid">
        <fgColor theme="4"/>
      </patternFill>
    </fill>
    <fill>
      <patternFill patternType="solid">
        <fgColor theme="4" tint="0.59999389629810485"/>
        <bgColor indexed="65"/>
      </patternFill>
    </fill>
    <fill>
      <patternFill patternType="solid">
        <fgColor theme="4" tint="0.79998168889431442"/>
        <bgColor indexed="65"/>
      </patternFill>
    </fill>
    <fill>
      <patternFill patternType="solid">
        <fgColor theme="4" tint="0.59999389629810485"/>
        <bgColor indexed="64"/>
      </patternFill>
    </fill>
  </fills>
  <borders count="18">
    <border>
      <left/>
      <right/>
      <top/>
      <bottom/>
      <diagonal/>
    </border>
    <border>
      <left style="thin">
        <color indexed="8"/>
      </left>
      <right style="thin">
        <color indexed="8"/>
      </right>
      <top style="thin">
        <color indexed="8"/>
      </top>
      <bottom style="thin">
        <color indexed="8"/>
      </bottom>
      <diagonal/>
    </border>
    <border>
      <left style="thin">
        <color indexed="54"/>
      </left>
      <right style="thin">
        <color indexed="54"/>
      </right>
      <top style="thin">
        <color indexed="54"/>
      </top>
      <bottom style="thin">
        <color indexed="54"/>
      </bottom>
      <diagonal/>
    </border>
    <border>
      <left/>
      <right/>
      <top/>
      <bottom style="hair">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diagonalDown="1">
      <left style="thin">
        <color indexed="8"/>
      </left>
      <right style="thin">
        <color indexed="64"/>
      </right>
      <top style="thin">
        <color indexed="8"/>
      </top>
      <bottom style="thin">
        <color indexed="64"/>
      </bottom>
      <diagonal style="thin">
        <color indexed="64"/>
      </diagonal>
    </border>
    <border>
      <left/>
      <right style="thin">
        <color indexed="44"/>
      </right>
      <top/>
      <bottom style="thin">
        <color indexed="44"/>
      </bottom>
      <diagonal/>
    </border>
    <border>
      <left/>
      <right style="thin">
        <color indexed="44"/>
      </right>
      <top style="thin">
        <color indexed="44"/>
      </top>
      <bottom style="thin">
        <color indexed="44"/>
      </bottom>
      <diagonal/>
    </border>
    <border>
      <left style="thin">
        <color indexed="64"/>
      </left>
      <right style="thin">
        <color indexed="44"/>
      </right>
      <top style="thin">
        <color indexed="8"/>
      </top>
      <bottom style="thin">
        <color indexed="8"/>
      </bottom>
      <diagonal/>
    </border>
    <border>
      <left style="thin">
        <color indexed="8"/>
      </left>
      <right style="thin">
        <color indexed="8"/>
      </right>
      <top/>
      <bottom style="thin">
        <color indexed="44"/>
      </bottom>
      <diagonal/>
    </border>
    <border>
      <left style="thin">
        <color indexed="8"/>
      </left>
      <right style="thin">
        <color indexed="8"/>
      </right>
      <top style="thin">
        <color indexed="64"/>
      </top>
      <bottom style="thin">
        <color indexed="8"/>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s>
  <cellStyleXfs count="11">
    <xf numFmtId="0" fontId="0" fillId="0" borderId="1">
      <alignment horizontal="right"/>
    </xf>
    <xf numFmtId="0" fontId="11" fillId="0" borderId="0" applyNumberFormat="0" applyFill="0" applyBorder="0" applyAlignment="0" applyProtection="0"/>
    <xf numFmtId="0" fontId="10" fillId="0" borderId="0" applyNumberFormat="0" applyFill="0" applyBorder="0" applyAlignment="0" applyProtection="0"/>
    <xf numFmtId="0" fontId="3" fillId="0" borderId="0"/>
    <xf numFmtId="0" fontId="10" fillId="0" borderId="0" applyNumberFormat="0" applyFill="0" applyBorder="0" applyAlignment="0" applyProtection="0"/>
    <xf numFmtId="0" fontId="7" fillId="0" borderId="2" applyNumberFormat="0" applyFont="0" applyFill="0" applyAlignment="0" applyProtection="0"/>
    <xf numFmtId="0" fontId="10" fillId="0" borderId="2" applyNumberFormat="0" applyFont="0" applyFill="0" applyAlignment="0" applyProtection="0"/>
    <xf numFmtId="0" fontId="9" fillId="0" borderId="3" applyNumberFormat="0" applyFill="0" applyAlignment="0" applyProtection="0"/>
    <xf numFmtId="0" fontId="31" fillId="5" borderId="0" applyNumberFormat="0" applyBorder="0" applyAlignment="0" applyProtection="0"/>
    <xf numFmtId="0" fontId="2" fillId="6" borderId="0" applyNumberFormat="0" applyBorder="0" applyAlignment="0" applyProtection="0"/>
    <xf numFmtId="0" fontId="1" fillId="7" borderId="0" applyNumberFormat="0" applyBorder="0" applyAlignment="0" applyProtection="0"/>
  </cellStyleXfs>
  <cellXfs count="147">
    <xf numFmtId="0" fontId="0" fillId="0" borderId="1" xfId="0">
      <alignment horizontal="right"/>
    </xf>
    <xf numFmtId="0" fontId="0" fillId="0" borderId="0" xfId="0" applyBorder="1">
      <alignment horizontal="right"/>
    </xf>
    <xf numFmtId="0" fontId="0" fillId="0" borderId="0" xfId="0" applyBorder="1" applyAlignment="1">
      <alignment horizontal="left"/>
    </xf>
    <xf numFmtId="0" fontId="0" fillId="0" borderId="0" xfId="0" applyBorder="1" applyAlignment="1">
      <alignment horizontal="center"/>
    </xf>
    <xf numFmtId="0" fontId="3" fillId="0" borderId="0" xfId="0" applyFont="1" applyBorder="1" applyAlignment="1"/>
    <xf numFmtId="0" fontId="21" fillId="0" borderId="0" xfId="4" applyFont="1" applyBorder="1" applyAlignment="1"/>
    <xf numFmtId="0" fontId="17" fillId="0" borderId="0" xfId="4" applyFont="1" applyBorder="1" applyAlignment="1">
      <alignment horizontal="right"/>
    </xf>
    <xf numFmtId="0" fontId="23" fillId="0" borderId="0" xfId="0" applyFont="1" applyBorder="1" applyAlignment="1">
      <alignment horizontal="right"/>
    </xf>
    <xf numFmtId="164" fontId="24" fillId="0" borderId="0" xfId="0" applyNumberFormat="1" applyFont="1" applyBorder="1" applyAlignment="1">
      <alignment horizontal="center"/>
    </xf>
    <xf numFmtId="1" fontId="0" fillId="0" borderId="0" xfId="0" applyNumberFormat="1" applyBorder="1" applyAlignment="1">
      <alignment horizontal="left"/>
    </xf>
    <xf numFmtId="1" fontId="0" fillId="2" borderId="0" xfId="0" applyNumberFormat="1" applyFill="1" applyBorder="1" applyAlignment="1">
      <alignment horizontal="left"/>
    </xf>
    <xf numFmtId="0" fontId="24" fillId="0" borderId="0" xfId="0" applyNumberFormat="1" applyFont="1" applyBorder="1" applyAlignment="1">
      <alignment horizontal="left"/>
    </xf>
    <xf numFmtId="0" fontId="24" fillId="2" borderId="0" xfId="0" applyNumberFormat="1" applyFont="1" applyFill="1" applyBorder="1" applyAlignment="1">
      <alignment horizontal="left"/>
    </xf>
    <xf numFmtId="0" fontId="17" fillId="0" borderId="0" xfId="2" applyFont="1" applyBorder="1" applyAlignment="1"/>
    <xf numFmtId="0" fontId="17" fillId="0" borderId="0" xfId="2" applyFont="1" applyBorder="1" applyAlignment="1">
      <alignment horizontal="center"/>
    </xf>
    <xf numFmtId="1" fontId="5" fillId="3" borderId="8" xfId="0" applyNumberFormat="1" applyFont="1" applyFill="1" applyBorder="1" applyAlignment="1">
      <alignment horizontal="left"/>
    </xf>
    <xf numFmtId="0" fontId="5" fillId="0" borderId="0" xfId="0" applyFont="1" applyBorder="1" applyAlignment="1">
      <alignment horizontal="left"/>
    </xf>
    <xf numFmtId="0" fontId="0" fillId="0" borderId="0" xfId="0" applyBorder="1" applyAlignment="1"/>
    <xf numFmtId="0" fontId="25" fillId="0" borderId="0" xfId="0" applyFont="1" applyBorder="1">
      <alignment horizontal="right"/>
    </xf>
    <xf numFmtId="1" fontId="6" fillId="0" borderId="0" xfId="0" applyNumberFormat="1" applyFont="1" applyBorder="1" applyAlignment="1">
      <alignment horizontal="left"/>
    </xf>
    <xf numFmtId="0" fontId="6" fillId="4" borderId="11" xfId="0" applyFont="1" applyFill="1" applyBorder="1" applyAlignment="1">
      <alignment horizontal="center" vertical="top" wrapText="1"/>
    </xf>
    <xf numFmtId="0" fontId="8" fillId="0" borderId="0" xfId="0" applyNumberFormat="1" applyFont="1" applyBorder="1" applyAlignment="1">
      <alignment horizontal="left" vertical="top"/>
    </xf>
    <xf numFmtId="0" fontId="7" fillId="0" borderId="0" xfId="0" applyFont="1" applyBorder="1">
      <alignment horizontal="right"/>
    </xf>
    <xf numFmtId="164" fontId="26" fillId="0" borderId="0" xfId="0" applyNumberFormat="1" applyFont="1" applyBorder="1" applyAlignment="1">
      <alignment horizontal="center"/>
    </xf>
    <xf numFmtId="0" fontId="27" fillId="0" borderId="0" xfId="0" applyNumberFormat="1" applyFont="1" applyBorder="1" applyAlignment="1">
      <alignment horizontal="center"/>
    </xf>
    <xf numFmtId="164" fontId="27" fillId="0" borderId="0" xfId="0" applyNumberFormat="1" applyFont="1" applyBorder="1" applyAlignment="1">
      <alignment horizontal="center"/>
    </xf>
    <xf numFmtId="0" fontId="0" fillId="0" borderId="0" xfId="0" applyFill="1" applyBorder="1" applyAlignment="1"/>
    <xf numFmtId="0" fontId="5" fillId="0" borderId="0" xfId="0" applyFont="1" applyFill="1" applyBorder="1" applyAlignment="1">
      <alignment horizontal="left"/>
    </xf>
    <xf numFmtId="164" fontId="30" fillId="0" borderId="0" xfId="0" applyNumberFormat="1" applyFont="1" applyBorder="1" applyAlignment="1">
      <alignment horizontal="center"/>
    </xf>
    <xf numFmtId="0" fontId="0" fillId="0" borderId="0" xfId="0" applyNumberFormat="1" applyBorder="1" applyAlignment="1">
      <alignment horizontal="left" vertical="top"/>
    </xf>
    <xf numFmtId="0" fontId="31" fillId="5" borderId="4" xfId="8" applyBorder="1" applyAlignment="1">
      <alignment horizontal="right" wrapText="1"/>
    </xf>
    <xf numFmtId="1" fontId="31" fillId="5" borderId="4" xfId="8" applyNumberFormat="1" applyBorder="1" applyAlignment="1">
      <alignment horizontal="center" wrapText="1"/>
    </xf>
    <xf numFmtId="164" fontId="2" fillId="6" borderId="0" xfId="9" applyNumberFormat="1" applyBorder="1" applyAlignment="1">
      <alignment horizontal="left"/>
    </xf>
    <xf numFmtId="0" fontId="2" fillId="6" borderId="0" xfId="9" applyNumberFormat="1" applyBorder="1" applyAlignment="1">
      <alignment horizontal="left"/>
    </xf>
    <xf numFmtId="164" fontId="31" fillId="5" borderId="4" xfId="8" applyNumberFormat="1" applyBorder="1" applyAlignment="1">
      <alignment horizontal="left" vertical="center" wrapText="1"/>
    </xf>
    <xf numFmtId="164" fontId="31" fillId="5" borderId="7" xfId="8" applyNumberFormat="1" applyBorder="1" applyAlignment="1">
      <alignment horizontal="left" vertical="center" wrapText="1"/>
    </xf>
    <xf numFmtId="0" fontId="2" fillId="6" borderId="5" xfId="9" applyBorder="1" applyAlignment="1">
      <alignment wrapText="1"/>
    </xf>
    <xf numFmtId="0" fontId="31" fillId="5" borderId="4" xfId="8" applyBorder="1" applyAlignment="1">
      <alignment wrapText="1"/>
    </xf>
    <xf numFmtId="1" fontId="31" fillId="5" borderId="4" xfId="8" applyNumberFormat="1" applyBorder="1" applyAlignment="1">
      <alignment horizontal="center" vertical="center" wrapText="1"/>
    </xf>
    <xf numFmtId="0" fontId="31" fillId="5" borderId="4" xfId="8" applyNumberFormat="1" applyBorder="1" applyAlignment="1">
      <alignment horizontal="center" vertical="center" wrapText="1"/>
    </xf>
    <xf numFmtId="164" fontId="31" fillId="5" borderId="4" xfId="8" applyNumberFormat="1" applyBorder="1" applyAlignment="1">
      <alignment horizontal="center" vertical="center" wrapText="1"/>
    </xf>
    <xf numFmtId="0" fontId="31" fillId="5" borderId="4" xfId="8" applyNumberFormat="1" applyBorder="1" applyAlignment="1">
      <alignment horizontal="left" vertical="center" wrapText="1"/>
    </xf>
    <xf numFmtId="0" fontId="31" fillId="5" borderId="8" xfId="8" applyNumberFormat="1" applyBorder="1" applyAlignment="1">
      <alignment horizontal="left"/>
    </xf>
    <xf numFmtId="0" fontId="31" fillId="5" borderId="8" xfId="8" applyNumberFormat="1" applyBorder="1" applyAlignment="1">
      <alignment vertical="center"/>
    </xf>
    <xf numFmtId="0" fontId="2" fillId="6" borderId="9" xfId="9" applyBorder="1" applyAlignment="1">
      <alignment vertical="top" wrapText="1"/>
    </xf>
    <xf numFmtId="0" fontId="31" fillId="5" borderId="14" xfId="8" applyBorder="1" applyAlignment="1">
      <alignment horizontal="right" vertical="top" wrapText="1"/>
    </xf>
    <xf numFmtId="0" fontId="31" fillId="5" borderId="10" xfId="8" applyBorder="1" applyAlignment="1">
      <alignment horizontal="center" vertical="top" wrapText="1"/>
    </xf>
    <xf numFmtId="0" fontId="0" fillId="0" borderId="0" xfId="0" applyBorder="1" applyAlignment="1"/>
    <xf numFmtId="0" fontId="1" fillId="7" borderId="13" xfId="10" applyBorder="1" applyAlignment="1">
      <alignment vertical="top" wrapText="1"/>
    </xf>
    <xf numFmtId="0" fontId="1" fillId="7" borderId="12" xfId="10" applyBorder="1" applyAlignment="1">
      <alignment horizontal="center" textRotation="90"/>
    </xf>
    <xf numFmtId="164" fontId="24" fillId="0" borderId="0" xfId="0" applyNumberFormat="1" applyFont="1" applyBorder="1" applyAlignment="1">
      <alignment horizontal="center" vertical="center"/>
    </xf>
    <xf numFmtId="0" fontId="24"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31" fillId="5" borderId="4" xfId="8" applyNumberFormat="1" applyBorder="1" applyAlignment="1">
      <alignment horizontal="left" vertical="top" wrapText="1"/>
    </xf>
    <xf numFmtId="0" fontId="0" fillId="0" borderId="0" xfId="0" applyBorder="1" applyAlignment="1">
      <alignment horizontal="right"/>
    </xf>
    <xf numFmtId="0" fontId="0" fillId="0" borderId="0" xfId="0" applyFill="1" applyBorder="1" applyAlignment="1">
      <alignment horizontal="left"/>
    </xf>
    <xf numFmtId="1" fontId="2" fillId="6" borderId="8" xfId="9" applyNumberFormat="1" applyBorder="1" applyAlignment="1">
      <alignment horizontal="center"/>
    </xf>
    <xf numFmtId="1" fontId="2" fillId="6" borderId="8" xfId="9" applyNumberFormat="1" applyBorder="1" applyAlignment="1">
      <alignment horizontal="left"/>
    </xf>
    <xf numFmtId="0" fontId="2" fillId="6" borderId="8" xfId="9" applyNumberFormat="1" applyBorder="1" applyAlignment="1">
      <alignment horizontal="left"/>
    </xf>
    <xf numFmtId="1" fontId="5" fillId="8" borderId="8" xfId="0" applyNumberFormat="1" applyFont="1" applyFill="1" applyBorder="1" applyAlignment="1">
      <alignment horizontal="center"/>
    </xf>
    <xf numFmtId="165" fontId="35" fillId="0" borderId="0" xfId="0" applyNumberFormat="1" applyFont="1" applyBorder="1" applyAlignment="1">
      <alignment horizontal="center"/>
    </xf>
    <xf numFmtId="0" fontId="36" fillId="0" borderId="0" xfId="0" applyFont="1" applyBorder="1" applyAlignment="1">
      <alignment horizontal="right"/>
    </xf>
    <xf numFmtId="1" fontId="24" fillId="0" borderId="0" xfId="0" applyNumberFormat="1" applyFont="1" applyBorder="1" applyAlignment="1">
      <alignment horizontal="left" wrapText="1"/>
    </xf>
    <xf numFmtId="0" fontId="37" fillId="0" borderId="0" xfId="0" applyNumberFormat="1" applyFont="1" applyBorder="1" applyAlignment="1">
      <alignment horizontal="center" vertical="center"/>
    </xf>
    <xf numFmtId="0" fontId="37" fillId="0" borderId="0" xfId="0" applyNumberFormat="1" applyFont="1" applyBorder="1" applyAlignment="1">
      <alignment horizontal="left" vertical="top"/>
    </xf>
    <xf numFmtId="0" fontId="24" fillId="0" borderId="0" xfId="0" applyFont="1" applyBorder="1">
      <alignment horizontal="right"/>
    </xf>
    <xf numFmtId="1" fontId="24" fillId="0" borderId="0" xfId="0" applyNumberFormat="1" applyFont="1" applyBorder="1" applyAlignment="1">
      <alignment horizontal="left"/>
    </xf>
    <xf numFmtId="0" fontId="24" fillId="0" borderId="0" xfId="0" applyNumberFormat="1" applyFont="1" applyBorder="1" applyAlignment="1">
      <alignment horizontal="left" vertical="top"/>
    </xf>
    <xf numFmtId="164" fontId="0" fillId="0" borderId="0" xfId="0" applyNumberFormat="1" applyFont="1" applyBorder="1" applyAlignment="1">
      <alignment horizontal="left" vertical="top"/>
    </xf>
    <xf numFmtId="1" fontId="0" fillId="0" borderId="0" xfId="0" applyNumberFormat="1" applyFont="1" applyBorder="1" applyAlignment="1">
      <alignment horizontal="center" vertical="top"/>
    </xf>
    <xf numFmtId="0" fontId="0" fillId="0" borderId="0" xfId="0" applyNumberFormat="1" applyFont="1" applyBorder="1" applyAlignment="1">
      <alignment horizontal="left" vertical="top"/>
    </xf>
    <xf numFmtId="0" fontId="0" fillId="3" borderId="0" xfId="0" applyFont="1" applyFill="1" applyBorder="1" applyAlignment="1">
      <alignment horizontal="left" vertical="top"/>
    </xf>
    <xf numFmtId="0" fontId="0" fillId="3" borderId="0" xfId="0" applyNumberFormat="1" applyFont="1" applyFill="1" applyBorder="1" applyAlignment="1">
      <alignment horizontal="left" vertical="top"/>
    </xf>
    <xf numFmtId="0" fontId="0" fillId="0" borderId="0" xfId="0" applyNumberFormat="1" applyFont="1" applyBorder="1" applyAlignment="1">
      <alignment horizontal="center" vertical="top"/>
    </xf>
    <xf numFmtId="1" fontId="0" fillId="0" borderId="0" xfId="0" applyNumberFormat="1" applyFont="1" applyBorder="1" applyAlignment="1">
      <alignment horizontal="left" vertical="top"/>
    </xf>
    <xf numFmtId="0" fontId="0" fillId="0" borderId="0" xfId="0" applyFont="1" applyBorder="1" applyAlignment="1">
      <alignment horizontal="left" vertical="top"/>
    </xf>
    <xf numFmtId="0" fontId="23" fillId="2" borderId="0" xfId="0" applyFont="1" applyFill="1" applyBorder="1" applyAlignment="1">
      <alignment horizontal="left" vertical="top"/>
    </xf>
    <xf numFmtId="1" fontId="0" fillId="2" borderId="0" xfId="0" applyNumberFormat="1" applyFont="1" applyFill="1" applyBorder="1" applyAlignment="1">
      <alignment horizontal="left" vertical="top"/>
    </xf>
    <xf numFmtId="0" fontId="0" fillId="2" borderId="0" xfId="0" applyNumberFormat="1" applyFont="1" applyFill="1" applyBorder="1" applyAlignment="1">
      <alignment horizontal="left" vertical="top"/>
    </xf>
    <xf numFmtId="164" fontId="0" fillId="3" borderId="0" xfId="0" applyNumberFormat="1" applyFont="1" applyFill="1" applyBorder="1" applyAlignment="1">
      <alignment horizontal="left" vertical="top"/>
    </xf>
    <xf numFmtId="0" fontId="23" fillId="3" borderId="0" xfId="0" applyFont="1" applyFill="1" applyBorder="1" applyAlignment="1">
      <alignment horizontal="left" vertical="top"/>
    </xf>
    <xf numFmtId="1" fontId="0" fillId="3" borderId="0" xfId="0" applyNumberFormat="1" applyFont="1" applyFill="1" applyBorder="1" applyAlignment="1">
      <alignment horizontal="left" vertical="top"/>
    </xf>
    <xf numFmtId="0" fontId="23" fillId="0" borderId="0" xfId="0" applyFont="1" applyBorder="1" applyAlignment="1">
      <alignment horizontal="left" vertical="top"/>
    </xf>
    <xf numFmtId="1" fontId="0" fillId="2" borderId="0" xfId="0" applyNumberFormat="1" applyFont="1" applyFill="1" applyBorder="1" applyAlignment="1">
      <alignment horizontal="center" vertical="top"/>
    </xf>
    <xf numFmtId="1" fontId="0" fillId="3" borderId="0" xfId="0" applyNumberFormat="1" applyFont="1" applyFill="1" applyBorder="1" applyAlignment="1">
      <alignment horizontal="center" vertical="top"/>
    </xf>
    <xf numFmtId="0" fontId="31" fillId="5" borderId="15" xfId="8" applyNumberFormat="1" applyBorder="1" applyAlignment="1">
      <alignment horizontal="center" vertical="center" wrapText="1"/>
    </xf>
    <xf numFmtId="0" fontId="0" fillId="0" borderId="0" xfId="0" applyFill="1" applyBorder="1">
      <alignment horizontal="right"/>
    </xf>
    <xf numFmtId="0" fontId="18" fillId="0" borderId="0" xfId="0" quotePrefix="1" applyNumberFormat="1" applyFont="1" applyBorder="1" applyAlignment="1" applyProtection="1">
      <alignment horizontal="center"/>
      <protection locked="0"/>
    </xf>
    <xf numFmtId="0" fontId="27" fillId="0" borderId="0" xfId="0" applyNumberFormat="1" applyFont="1" applyBorder="1" applyAlignment="1" applyProtection="1">
      <alignment horizontal="center"/>
      <protection locked="0"/>
    </xf>
    <xf numFmtId="164" fontId="27" fillId="0" borderId="0" xfId="0" applyNumberFormat="1" applyFont="1" applyBorder="1" applyAlignment="1" applyProtection="1">
      <alignment horizontal="center"/>
      <protection locked="0"/>
    </xf>
    <xf numFmtId="0" fontId="5" fillId="0" borderId="0" xfId="0" applyFont="1" applyBorder="1">
      <alignment horizontal="right"/>
    </xf>
    <xf numFmtId="0" fontId="8" fillId="0" borderId="0" xfId="0" applyNumberFormat="1" applyFont="1" applyBorder="1" applyAlignment="1">
      <alignment horizontal="left" vertical="top" wrapText="1"/>
    </xf>
    <xf numFmtId="0" fontId="0" fillId="0" borderId="0" xfId="0" applyNumberFormat="1" applyFont="1" applyFill="1" applyBorder="1" applyAlignment="1">
      <alignment horizontal="left" vertical="top"/>
    </xf>
    <xf numFmtId="0" fontId="0" fillId="0" borderId="0" xfId="0" applyFont="1" applyFill="1" applyBorder="1" applyAlignment="1">
      <alignment horizontal="left" vertical="top"/>
    </xf>
    <xf numFmtId="0" fontId="31" fillId="5" borderId="0" xfId="8" applyNumberFormat="1" applyBorder="1" applyAlignment="1">
      <alignment horizontal="center" vertical="center" wrapText="1"/>
    </xf>
    <xf numFmtId="0" fontId="31" fillId="5" borderId="17" xfId="8" applyNumberFormat="1" applyBorder="1" applyAlignment="1">
      <alignment horizontal="center" vertical="center" wrapText="1"/>
    </xf>
    <xf numFmtId="0" fontId="0" fillId="0" borderId="0" xfId="0" applyNumberFormat="1" applyFont="1" applyFill="1" applyBorder="1" applyAlignment="1">
      <alignment horizontal="center" vertical="center"/>
    </xf>
    <xf numFmtId="0" fontId="0" fillId="0" borderId="0" xfId="0" applyNumberFormat="1" applyFont="1" applyBorder="1" applyAlignment="1">
      <alignment horizontal="center" vertical="center"/>
    </xf>
    <xf numFmtId="0" fontId="8" fillId="0" borderId="0" xfId="0" applyNumberFormat="1" applyFont="1" applyFill="1" applyBorder="1" applyAlignment="1">
      <alignment horizontal="left" vertical="top"/>
    </xf>
    <xf numFmtId="0" fontId="41" fillId="0" borderId="1" xfId="0" applyFont="1" applyAlignment="1">
      <alignment horizontal="right" vertical="center"/>
    </xf>
    <xf numFmtId="0" fontId="41" fillId="0" borderId="1" xfId="0" applyFont="1" applyAlignment="1">
      <alignment horizontal="right" vertical="center" wrapText="1"/>
    </xf>
    <xf numFmtId="0" fontId="17" fillId="0" borderId="0" xfId="2" applyFont="1" applyBorder="1" applyAlignment="1">
      <alignment horizontal="left"/>
    </xf>
    <xf numFmtId="49" fontId="24" fillId="0" borderId="0" xfId="0" applyNumberFormat="1" applyFont="1" applyBorder="1" applyAlignment="1" applyProtection="1">
      <alignment horizontal="left"/>
      <protection locked="0"/>
    </xf>
    <xf numFmtId="0" fontId="12" fillId="0" borderId="0" xfId="0" applyFont="1" applyBorder="1" applyAlignment="1"/>
    <xf numFmtId="0" fontId="3" fillId="0" borderId="0" xfId="0" applyFont="1" applyBorder="1" applyAlignment="1"/>
    <xf numFmtId="0" fontId="13" fillId="0" borderId="0" xfId="0" applyFont="1" applyBorder="1" applyAlignment="1"/>
    <xf numFmtId="0" fontId="14" fillId="0" borderId="0" xfId="7" applyFont="1" applyBorder="1" applyAlignment="1">
      <alignment wrapText="1"/>
    </xf>
    <xf numFmtId="0" fontId="14" fillId="0" borderId="0" xfId="7" applyFont="1" applyBorder="1"/>
    <xf numFmtId="0" fontId="3" fillId="0" borderId="0" xfId="0" applyNumberFormat="1" applyFont="1" applyBorder="1" applyAlignment="1">
      <alignment horizontal="left"/>
    </xf>
    <xf numFmtId="0" fontId="15" fillId="0" borderId="0" xfId="4" applyFont="1" applyBorder="1"/>
    <xf numFmtId="0" fontId="22" fillId="0" borderId="0" xfId="4" applyFont="1" applyBorder="1" applyAlignment="1">
      <alignment horizontal="left"/>
    </xf>
    <xf numFmtId="0" fontId="17" fillId="0" borderId="5" xfId="6" applyFont="1" applyBorder="1" applyAlignment="1">
      <alignment horizontal="center" vertical="center" wrapText="1"/>
    </xf>
    <xf numFmtId="0" fontId="17" fillId="0" borderId="15" xfId="6" applyFont="1" applyBorder="1" applyAlignment="1">
      <alignment horizontal="center" vertical="center" wrapText="1"/>
    </xf>
    <xf numFmtId="0" fontId="17" fillId="0" borderId="6" xfId="6" applyFont="1" applyBorder="1" applyAlignment="1">
      <alignment horizontal="center" vertical="center" wrapText="1"/>
    </xf>
    <xf numFmtId="0" fontId="11" fillId="0" borderId="0" xfId="1" applyFont="1" applyBorder="1"/>
    <xf numFmtId="0" fontId="16" fillId="0" borderId="0" xfId="1" applyFont="1" applyBorder="1"/>
    <xf numFmtId="0" fontId="0" fillId="0" borderId="0" xfId="0" applyBorder="1" applyAlignment="1"/>
    <xf numFmtId="0" fontId="3" fillId="0" borderId="0" xfId="5" applyFont="1" applyBorder="1"/>
    <xf numFmtId="0" fontId="17" fillId="0" borderId="0" xfId="2" applyFont="1" applyBorder="1"/>
    <xf numFmtId="49" fontId="0" fillId="0" borderId="0" xfId="0" applyNumberFormat="1" applyBorder="1" applyAlignment="1" applyProtection="1">
      <alignment horizontal="left"/>
      <protection locked="0"/>
    </xf>
    <xf numFmtId="49" fontId="3" fillId="0" borderId="0" xfId="0" applyNumberFormat="1" applyFont="1" applyBorder="1" applyAlignment="1" applyProtection="1">
      <alignment horizontal="left"/>
      <protection locked="0"/>
    </xf>
    <xf numFmtId="49" fontId="3" fillId="0" borderId="0" xfId="0" applyNumberFormat="1" applyFont="1" applyBorder="1" applyAlignment="1">
      <alignment horizontal="left"/>
    </xf>
    <xf numFmtId="0" fontId="0" fillId="0" borderId="0" xfId="0" applyNumberFormat="1" applyBorder="1" applyAlignment="1">
      <alignment horizontal="left"/>
    </xf>
    <xf numFmtId="14" fontId="3" fillId="0" borderId="0" xfId="0" applyNumberFormat="1" applyFont="1" applyBorder="1" applyAlignment="1">
      <alignment horizontal="left"/>
    </xf>
    <xf numFmtId="0" fontId="28" fillId="0" borderId="0" xfId="0" applyNumberFormat="1" applyFont="1" applyBorder="1" applyAlignment="1">
      <alignment horizontal="left" wrapText="1"/>
    </xf>
    <xf numFmtId="49" fontId="28" fillId="0" borderId="0" xfId="0" applyNumberFormat="1" applyFont="1" applyBorder="1" applyAlignment="1">
      <alignment horizontal="left" wrapText="1"/>
    </xf>
    <xf numFmtId="0" fontId="17" fillId="0" borderId="0" xfId="2" applyFont="1" applyBorder="1" applyAlignment="1">
      <alignment horizontal="left" vertical="center"/>
    </xf>
    <xf numFmtId="49" fontId="0" fillId="0" borderId="0" xfId="0" applyNumberFormat="1" applyBorder="1" applyAlignment="1">
      <alignment horizontal="left" vertical="center"/>
    </xf>
    <xf numFmtId="49" fontId="3" fillId="0" borderId="0" xfId="0" applyNumberFormat="1" applyFont="1" applyBorder="1" applyAlignment="1">
      <alignment horizontal="left" vertical="center"/>
    </xf>
    <xf numFmtId="0" fontId="4" fillId="0" borderId="0" xfId="0" applyFont="1" applyBorder="1" applyAlignment="1"/>
    <xf numFmtId="0" fontId="27" fillId="0" borderId="0" xfId="0" applyFont="1" applyBorder="1" applyAlignment="1" applyProtection="1">
      <alignment horizontal="left"/>
      <protection locked="0"/>
    </xf>
    <xf numFmtId="0" fontId="27" fillId="0" borderId="0" xfId="0" applyNumberFormat="1" applyFont="1" applyBorder="1" applyAlignment="1" applyProtection="1">
      <alignment horizontal="left"/>
      <protection locked="0"/>
    </xf>
    <xf numFmtId="49" fontId="0" fillId="0" borderId="0" xfId="0" applyNumberFormat="1" applyBorder="1" applyAlignment="1">
      <alignment horizontal="left"/>
    </xf>
    <xf numFmtId="0" fontId="27" fillId="0" borderId="0" xfId="0" applyFont="1" applyBorder="1" applyAlignment="1">
      <alignment horizontal="left"/>
    </xf>
    <xf numFmtId="0" fontId="27" fillId="0" borderId="0" xfId="0" applyNumberFormat="1" applyFont="1" applyBorder="1" applyAlignment="1">
      <alignment horizontal="left"/>
    </xf>
    <xf numFmtId="0" fontId="32" fillId="0" borderId="0" xfId="2" applyFont="1" applyBorder="1" applyAlignment="1">
      <alignment horizontal="right" vertical="top" wrapText="1"/>
    </xf>
    <xf numFmtId="0" fontId="0" fillId="0" borderId="0" xfId="2" applyFont="1" applyBorder="1" applyAlignment="1">
      <alignment horizontal="left" vertical="top" wrapText="1"/>
    </xf>
    <xf numFmtId="0" fontId="17" fillId="0" borderId="0" xfId="2" applyFont="1" applyBorder="1" applyAlignment="1">
      <alignment horizontal="right" vertical="top" wrapText="1"/>
    </xf>
    <xf numFmtId="1" fontId="2" fillId="6" borderId="0" xfId="9" applyNumberFormat="1" applyBorder="1" applyAlignment="1">
      <alignment horizontal="left"/>
    </xf>
    <xf numFmtId="0" fontId="31" fillId="5" borderId="17" xfId="8" applyNumberFormat="1" applyBorder="1" applyAlignment="1">
      <alignment horizontal="center" vertical="center" wrapText="1"/>
    </xf>
    <xf numFmtId="0" fontId="31" fillId="5" borderId="7" xfId="8" applyNumberFormat="1" applyBorder="1" applyAlignment="1">
      <alignment horizontal="center" vertical="center" wrapText="1"/>
    </xf>
    <xf numFmtId="0" fontId="31" fillId="5" borderId="5" xfId="8" applyNumberFormat="1" applyBorder="1" applyAlignment="1">
      <alignment horizontal="center" vertical="center"/>
    </xf>
    <xf numFmtId="0" fontId="31" fillId="5" borderId="15" xfId="8" applyNumberFormat="1" applyBorder="1" applyAlignment="1">
      <alignment horizontal="center" vertical="center"/>
    </xf>
    <xf numFmtId="0" fontId="31" fillId="5" borderId="6" xfId="8" applyNumberFormat="1" applyBorder="1" applyAlignment="1">
      <alignment horizontal="center" vertical="center"/>
    </xf>
    <xf numFmtId="0" fontId="31" fillId="5" borderId="16" xfId="8" applyNumberFormat="1" applyBorder="1" applyAlignment="1">
      <alignment horizontal="center" vertical="center"/>
    </xf>
    <xf numFmtId="0" fontId="31" fillId="5" borderId="8" xfId="8" applyNumberFormat="1" applyBorder="1" applyAlignment="1">
      <alignment horizontal="center" vertical="center"/>
    </xf>
    <xf numFmtId="0" fontId="0" fillId="0" borderId="0" xfId="0" applyBorder="1" applyAlignment="1">
      <alignment horizontal="center" vertical="center"/>
    </xf>
  </cellXfs>
  <cellStyles count="11">
    <cellStyle name="20% - Accent1" xfId="10" builtinId="30"/>
    <cellStyle name="40% - Accent1" xfId="9" builtinId="31"/>
    <cellStyle name="Accent1" xfId="8" builtinId="29"/>
    <cellStyle name="Cover Item Title" xfId="1" xr:uid="{00000000-0005-0000-0000-000003000000}"/>
    <cellStyle name="Default Blue" xfId="2" xr:uid="{00000000-0005-0000-0000-000004000000}"/>
    <cellStyle name="Normal" xfId="0" builtinId="0"/>
    <cellStyle name="Normal 2" xfId="3" xr:uid="{00000000-0005-0000-0000-000006000000}"/>
    <cellStyle name="Subtitle Cover" xfId="4" xr:uid="{00000000-0005-0000-0000-000007000000}"/>
    <cellStyle name="Table Grid" xfId="5" xr:uid="{00000000-0005-0000-0000-000008000000}"/>
    <cellStyle name="Table Grid Blue" xfId="6" xr:uid="{00000000-0005-0000-0000-000009000000}"/>
    <cellStyle name="Title Cover" xfId="7" xr:uid="{00000000-0005-0000-0000-00000A000000}"/>
  </cellStyles>
  <dxfs count="128">
    <dxf>
      <font>
        <b/>
        <i val="0"/>
        <condense val="0"/>
        <extend val="0"/>
      </font>
      <fill>
        <patternFill>
          <bgColor indexed="42"/>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ont>
        <b val="0"/>
        <i/>
        <condense val="0"/>
        <extend val="0"/>
      </font>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val="0"/>
        <i/>
        <condense val="0"/>
        <extend val="0"/>
      </font>
    </dxf>
    <dxf>
      <fill>
        <patternFill>
          <bgColor indexed="11"/>
        </patternFill>
      </fill>
    </dxf>
    <dxf>
      <fill>
        <patternFill>
          <bgColor indexed="10"/>
        </patternFill>
      </fill>
    </dxf>
    <dxf>
      <fill>
        <patternFill>
          <bgColor indexed="51"/>
        </patternFill>
      </fill>
    </dxf>
    <dxf>
      <fill>
        <patternFill>
          <bgColor indexed="52"/>
        </patternFill>
      </fill>
    </dxf>
    <dxf>
      <fill>
        <patternFill>
          <bgColor indexed="11"/>
        </pattern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94BD5E"/>
      <rgbColor rgb="00800080"/>
      <rgbColor rgb="00008080"/>
      <rgbColor rgb="00C0C0C0"/>
      <rgbColor rgb="007DA647"/>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AECF00"/>
      <rgbColor rgb="00FFCC00"/>
      <rgbColor rgb="00FF9900"/>
      <rgbColor rgb="00FF6600"/>
      <rgbColor rgb="00666699"/>
      <rgbColor rgb="009999C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247650</xdr:colOff>
      <xdr:row>0</xdr:row>
      <xdr:rowOff>9525</xdr:rowOff>
    </xdr:from>
    <xdr:to>
      <xdr:col>7</xdr:col>
      <xdr:colOff>609600</xdr:colOff>
      <xdr:row>1</xdr:row>
      <xdr:rowOff>142875</xdr:rowOff>
    </xdr:to>
    <xdr:pic>
      <xdr:nvPicPr>
        <xdr:cNvPr id="41478" name="Picture 1">
          <a:extLst>
            <a:ext uri="{FF2B5EF4-FFF2-40B4-BE49-F238E27FC236}">
              <a16:creationId xmlns:a16="http://schemas.microsoft.com/office/drawing/2014/main" id="{00000000-0008-0000-0000-000006A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57650" y="9525"/>
          <a:ext cx="1657350" cy="866775"/>
        </a:xfrm>
        <a:prstGeom prst="rect">
          <a:avLst/>
        </a:prstGeom>
        <a:noFill/>
        <a:ln w="9525">
          <a:noFill/>
          <a:round/>
          <a:headEnd/>
          <a:tailEnd/>
        </a:ln>
      </xdr:spPr>
    </xdr:pic>
    <xdr:clientData/>
  </xdr:twoCellAnchor>
  <xdr:twoCellAnchor>
    <xdr:from>
      <xdr:col>0</xdr:col>
      <xdr:colOff>95250</xdr:colOff>
      <xdr:row>25</xdr:row>
      <xdr:rowOff>85725</xdr:rowOff>
    </xdr:from>
    <xdr:to>
      <xdr:col>1</xdr:col>
      <xdr:colOff>304800</xdr:colOff>
      <xdr:row>25</xdr:row>
      <xdr:rowOff>942975</xdr:rowOff>
    </xdr:to>
    <xdr:pic>
      <xdr:nvPicPr>
        <xdr:cNvPr id="41479" name="Picture 4">
          <a:extLst>
            <a:ext uri="{FF2B5EF4-FFF2-40B4-BE49-F238E27FC236}">
              <a16:creationId xmlns:a16="http://schemas.microsoft.com/office/drawing/2014/main" id="{00000000-0008-0000-0000-000007A2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5250" y="8763000"/>
          <a:ext cx="1428750" cy="85725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89"/>
  <sheetViews>
    <sheetView workbookViewId="0">
      <selection activeCell="B7" sqref="B7:H7"/>
    </sheetView>
  </sheetViews>
  <sheetFormatPr defaultColWidth="0" defaultRowHeight="12.5" x14ac:dyDescent="0.25"/>
  <cols>
    <col min="1" max="8" width="9.54296875" style="1" customWidth="1"/>
    <col min="9" max="15" width="0" style="1" hidden="1" customWidth="1"/>
    <col min="16" max="16384" width="9.1796875" style="1" hidden="1"/>
  </cols>
  <sheetData>
    <row r="1" spans="1:15" ht="57.75" customHeight="1" x14ac:dyDescent="0.35">
      <c r="A1" s="103" t="s">
        <v>3</v>
      </c>
      <c r="B1" s="103"/>
      <c r="C1" s="103"/>
      <c r="D1" s="103"/>
      <c r="E1" s="103"/>
      <c r="F1" s="103"/>
      <c r="G1" s="104"/>
      <c r="H1" s="104"/>
    </row>
    <row r="2" spans="1:15" x14ac:dyDescent="0.25">
      <c r="A2" s="105" t="s">
        <v>101</v>
      </c>
      <c r="B2" s="105"/>
      <c r="C2" s="105"/>
      <c r="D2" s="105"/>
      <c r="E2" s="105"/>
      <c r="F2" s="105"/>
      <c r="G2" s="104"/>
      <c r="H2" s="104"/>
    </row>
    <row r="3" spans="1:15" x14ac:dyDescent="0.25">
      <c r="A3" s="105" t="s">
        <v>87</v>
      </c>
      <c r="B3" s="116"/>
      <c r="C3" s="116"/>
      <c r="D3" s="116"/>
      <c r="E3" s="116"/>
      <c r="F3" s="116"/>
      <c r="G3" s="116"/>
      <c r="H3" s="116"/>
    </row>
    <row r="4" spans="1:15" ht="100" customHeight="1" x14ac:dyDescent="0.7">
      <c r="A4" s="106" t="s">
        <v>164</v>
      </c>
      <c r="B4" s="107"/>
      <c r="C4" s="107"/>
      <c r="D4" s="107"/>
      <c r="E4" s="107"/>
      <c r="F4" s="107"/>
      <c r="G4" s="107"/>
      <c r="H4" s="107"/>
    </row>
    <row r="5" spans="1:15" ht="24.75" customHeight="1" x14ac:dyDescent="0.45">
      <c r="A5" s="109"/>
      <c r="B5" s="109"/>
      <c r="C5" s="109"/>
      <c r="D5" s="109"/>
      <c r="E5" s="109"/>
      <c r="F5" s="109"/>
      <c r="G5" s="109"/>
      <c r="H5" s="109"/>
    </row>
    <row r="6" spans="1:15" ht="24.75" customHeight="1" x14ac:dyDescent="0.35">
      <c r="A6" s="6"/>
      <c r="B6" s="110"/>
      <c r="C6" s="110"/>
      <c r="D6" s="110"/>
      <c r="E6" s="110"/>
      <c r="F6" s="110"/>
      <c r="G6" s="110"/>
      <c r="H6" s="110"/>
      <c r="I6" s="5"/>
      <c r="J6" s="5"/>
      <c r="K6" s="5"/>
      <c r="L6" s="5"/>
      <c r="M6" s="5"/>
      <c r="N6" s="5"/>
      <c r="O6" s="5"/>
    </row>
    <row r="7" spans="1:15" ht="24.75" customHeight="1" x14ac:dyDescent="0.35">
      <c r="A7" s="6" t="s">
        <v>80</v>
      </c>
      <c r="B7" s="110" t="s">
        <v>225</v>
      </c>
      <c r="C7" s="110"/>
      <c r="D7" s="110"/>
      <c r="E7" s="110"/>
      <c r="F7" s="110"/>
      <c r="G7" s="110"/>
      <c r="H7" s="110"/>
      <c r="I7" s="5"/>
      <c r="J7" s="5"/>
      <c r="K7" s="5"/>
      <c r="L7" s="5"/>
      <c r="M7" s="5"/>
      <c r="N7" s="5"/>
      <c r="O7" s="5"/>
    </row>
    <row r="8" spans="1:15" ht="26.25" customHeight="1" x14ac:dyDescent="0.3">
      <c r="A8" s="114" t="s">
        <v>224</v>
      </c>
      <c r="B8" s="115"/>
      <c r="C8" s="115"/>
      <c r="D8" s="115"/>
      <c r="E8" s="115"/>
      <c r="F8" s="115"/>
      <c r="G8" s="115"/>
      <c r="H8" s="115"/>
    </row>
    <row r="9" spans="1:15" ht="49.5" customHeight="1" x14ac:dyDescent="0.25">
      <c r="A9" s="104"/>
      <c r="B9" s="104"/>
      <c r="C9" s="104"/>
      <c r="D9" s="104"/>
      <c r="E9" s="104"/>
      <c r="F9" s="104"/>
      <c r="G9" s="104"/>
      <c r="H9" s="104"/>
    </row>
    <row r="10" spans="1:15" ht="75" customHeight="1" x14ac:dyDescent="0.25">
      <c r="A10" s="4"/>
      <c r="B10" s="111" t="s">
        <v>4</v>
      </c>
      <c r="C10" s="112"/>
      <c r="D10" s="112"/>
      <c r="E10" s="112"/>
      <c r="F10" s="112"/>
      <c r="G10" s="113"/>
      <c r="H10" s="4"/>
    </row>
    <row r="11" spans="1:15" ht="49.5" customHeight="1" x14ac:dyDescent="0.25">
      <c r="A11" s="104"/>
      <c r="B11" s="104"/>
      <c r="C11" s="104"/>
      <c r="D11" s="104"/>
      <c r="E11" s="104"/>
      <c r="F11" s="104"/>
      <c r="G11" s="104"/>
      <c r="H11" s="104"/>
    </row>
    <row r="12" spans="1:15" ht="13" x14ac:dyDescent="0.3">
      <c r="A12" s="101"/>
      <c r="B12" s="101"/>
      <c r="C12" s="102"/>
      <c r="D12" s="102"/>
      <c r="E12" s="102"/>
      <c r="F12" s="102"/>
      <c r="G12" s="102"/>
      <c r="H12" s="102"/>
    </row>
    <row r="13" spans="1:15" ht="13" x14ac:dyDescent="0.3">
      <c r="A13" s="101"/>
      <c r="B13" s="101"/>
      <c r="C13" s="102"/>
      <c r="D13" s="102"/>
      <c r="E13" s="102"/>
      <c r="F13" s="102"/>
      <c r="G13" s="102"/>
      <c r="H13" s="102"/>
    </row>
    <row r="14" spans="1:15" ht="13" x14ac:dyDescent="0.3">
      <c r="A14" s="101"/>
      <c r="B14" s="101"/>
      <c r="C14" s="102"/>
      <c r="D14" s="102"/>
      <c r="E14" s="102"/>
      <c r="F14" s="102"/>
      <c r="G14" s="102"/>
      <c r="H14" s="102"/>
    </row>
    <row r="15" spans="1:15" ht="12.75" customHeight="1" x14ac:dyDescent="0.3">
      <c r="A15" s="101"/>
      <c r="B15" s="101"/>
      <c r="C15" s="124"/>
      <c r="D15" s="125"/>
      <c r="E15" s="125"/>
      <c r="F15" s="125"/>
      <c r="G15" s="125"/>
      <c r="H15" s="125"/>
      <c r="I15" s="2"/>
    </row>
    <row r="16" spans="1:15" ht="13" x14ac:dyDescent="0.3">
      <c r="A16" s="118"/>
      <c r="B16" s="118"/>
      <c r="C16" s="123"/>
      <c r="D16" s="123"/>
      <c r="E16" s="123"/>
      <c r="F16" s="123"/>
      <c r="G16" s="123"/>
      <c r="H16" s="123"/>
    </row>
    <row r="17" spans="1:11" ht="13" x14ac:dyDescent="0.3">
      <c r="A17" s="118"/>
      <c r="B17" s="118"/>
      <c r="C17" s="108"/>
      <c r="D17" s="121"/>
      <c r="E17" s="121"/>
      <c r="F17" s="121"/>
      <c r="G17" s="121"/>
      <c r="H17" s="121"/>
    </row>
    <row r="18" spans="1:11" ht="13" x14ac:dyDescent="0.3">
      <c r="A18" s="118"/>
      <c r="B18" s="118"/>
      <c r="C18" s="119"/>
      <c r="D18" s="120"/>
      <c r="E18" s="120"/>
      <c r="F18" s="120"/>
      <c r="G18" s="120"/>
      <c r="H18" s="120"/>
    </row>
    <row r="19" spans="1:11" ht="13" x14ac:dyDescent="0.3">
      <c r="A19" s="118"/>
      <c r="B19" s="118"/>
      <c r="C19" s="121"/>
      <c r="D19" s="121"/>
      <c r="E19" s="121"/>
      <c r="F19" s="121"/>
      <c r="G19" s="121"/>
      <c r="H19" s="121"/>
    </row>
    <row r="20" spans="1:11" ht="13" x14ac:dyDescent="0.3">
      <c r="A20" s="118"/>
      <c r="B20" s="118"/>
      <c r="C20" s="122"/>
      <c r="D20" s="108"/>
      <c r="E20" s="108"/>
      <c r="F20" s="108"/>
      <c r="G20" s="108"/>
      <c r="H20" s="108"/>
    </row>
    <row r="21" spans="1:11" ht="13" x14ac:dyDescent="0.3">
      <c r="A21" s="118"/>
      <c r="B21" s="118"/>
      <c r="C21" s="108"/>
      <c r="D21" s="108"/>
      <c r="E21" s="108"/>
      <c r="F21" s="108"/>
      <c r="G21" s="108"/>
      <c r="H21" s="108"/>
    </row>
    <row r="22" spans="1:11" ht="13" x14ac:dyDescent="0.3">
      <c r="A22" s="101"/>
      <c r="B22" s="101"/>
      <c r="C22" s="122"/>
      <c r="D22" s="122"/>
      <c r="E22" s="122"/>
      <c r="F22" s="122"/>
      <c r="G22" s="122"/>
      <c r="H22" s="122"/>
    </row>
    <row r="23" spans="1:11" ht="24.75" customHeight="1" x14ac:dyDescent="0.25">
      <c r="A23" s="126"/>
      <c r="B23" s="126"/>
      <c r="C23" s="127"/>
      <c r="D23" s="128"/>
      <c r="E23" s="128"/>
      <c r="F23" s="128"/>
      <c r="G23" s="128"/>
      <c r="H23" s="128"/>
    </row>
    <row r="24" spans="1:11" ht="13" x14ac:dyDescent="0.3">
      <c r="A24" s="118" t="s">
        <v>5</v>
      </c>
      <c r="B24" s="118"/>
      <c r="C24" s="118"/>
      <c r="D24" s="118"/>
      <c r="E24" s="118"/>
      <c r="F24" s="118"/>
      <c r="G24" s="118"/>
      <c r="H24" s="118"/>
    </row>
    <row r="25" spans="1:11" ht="13" x14ac:dyDescent="0.3">
      <c r="A25" s="129" t="s">
        <v>6</v>
      </c>
      <c r="B25" s="129"/>
      <c r="C25" s="129"/>
      <c r="D25" s="129"/>
      <c r="E25" s="129"/>
      <c r="F25" s="129"/>
      <c r="G25" s="129"/>
      <c r="H25" s="129"/>
    </row>
    <row r="26" spans="1:11" ht="78" customHeight="1" x14ac:dyDescent="0.25">
      <c r="A26" s="117"/>
      <c r="B26" s="117"/>
      <c r="C26" s="117"/>
      <c r="D26" s="117"/>
      <c r="E26" s="117"/>
      <c r="F26" s="117"/>
      <c r="G26" s="117"/>
      <c r="H26" s="117"/>
    </row>
    <row r="27" spans="1:11" x14ac:dyDescent="0.25">
      <c r="A27" s="104"/>
      <c r="B27" s="104"/>
      <c r="C27" s="104"/>
      <c r="D27" s="104"/>
      <c r="E27" s="104"/>
      <c r="F27" s="104"/>
      <c r="G27" s="104"/>
      <c r="H27" s="104"/>
    </row>
    <row r="28" spans="1:11" ht="13" x14ac:dyDescent="0.3">
      <c r="A28" s="101" t="s">
        <v>116</v>
      </c>
      <c r="B28" s="101"/>
      <c r="C28" s="101"/>
      <c r="D28" s="101"/>
      <c r="E28" s="101"/>
      <c r="F28" s="101"/>
      <c r="G28" s="101"/>
      <c r="H28" s="101"/>
      <c r="J28" s="13"/>
      <c r="K28" s="13"/>
    </row>
    <row r="29" spans="1:11" ht="26.25" customHeight="1" x14ac:dyDescent="0.3">
      <c r="A29" s="137" t="s">
        <v>117</v>
      </c>
      <c r="B29" s="137"/>
      <c r="C29" s="136" t="s">
        <v>162</v>
      </c>
      <c r="D29" s="136"/>
      <c r="E29" s="136"/>
      <c r="F29" s="136"/>
      <c r="G29" s="136"/>
      <c r="H29" s="136"/>
      <c r="J29" s="13"/>
      <c r="K29" s="13"/>
    </row>
    <row r="30" spans="1:11" ht="25" customHeight="1" x14ac:dyDescent="0.3">
      <c r="A30" s="137" t="s">
        <v>123</v>
      </c>
      <c r="B30" s="137"/>
      <c r="C30" s="136" t="s">
        <v>163</v>
      </c>
      <c r="D30" s="136"/>
      <c r="E30" s="136"/>
      <c r="F30" s="136"/>
      <c r="G30" s="136"/>
      <c r="H30" s="136"/>
      <c r="J30" s="13"/>
      <c r="K30" s="13"/>
    </row>
    <row r="31" spans="1:11" ht="25" customHeight="1" x14ac:dyDescent="0.3">
      <c r="A31" s="137" t="s">
        <v>124</v>
      </c>
      <c r="B31" s="137"/>
      <c r="C31" s="136" t="s">
        <v>125</v>
      </c>
      <c r="D31" s="136"/>
      <c r="E31" s="136"/>
      <c r="F31" s="136"/>
      <c r="G31" s="136"/>
      <c r="H31" s="136"/>
      <c r="J31" s="13"/>
      <c r="K31" s="13"/>
    </row>
    <row r="32" spans="1:11" ht="13" x14ac:dyDescent="0.3">
      <c r="A32" s="135" t="s">
        <v>126</v>
      </c>
      <c r="B32" s="135"/>
      <c r="C32" s="136" t="s">
        <v>127</v>
      </c>
      <c r="D32" s="136"/>
      <c r="E32" s="136"/>
      <c r="F32" s="136"/>
      <c r="G32" s="136"/>
      <c r="H32" s="136"/>
      <c r="J32" s="13"/>
      <c r="K32" s="13"/>
    </row>
    <row r="33" spans="1:11" x14ac:dyDescent="0.25">
      <c r="A33" s="104"/>
      <c r="B33" s="104"/>
      <c r="C33" s="104"/>
      <c r="D33" s="104"/>
      <c r="E33" s="104"/>
      <c r="F33" s="104"/>
      <c r="G33" s="104"/>
      <c r="H33" s="104"/>
    </row>
    <row r="34" spans="1:11" ht="13" x14ac:dyDescent="0.3">
      <c r="A34" s="101" t="s">
        <v>22</v>
      </c>
      <c r="B34" s="101"/>
      <c r="C34" s="132"/>
      <c r="D34" s="132"/>
      <c r="E34" s="132"/>
      <c r="F34" s="132"/>
      <c r="G34" s="132"/>
      <c r="H34" s="132"/>
      <c r="J34" s="13"/>
      <c r="K34" s="13"/>
    </row>
    <row r="35" spans="1:11" ht="13" x14ac:dyDescent="0.3">
      <c r="A35" s="14" t="s">
        <v>23</v>
      </c>
      <c r="B35" s="14" t="s">
        <v>24</v>
      </c>
      <c r="C35" s="14" t="s">
        <v>11</v>
      </c>
      <c r="D35" s="101" t="s">
        <v>25</v>
      </c>
      <c r="E35" s="101"/>
      <c r="F35" s="101"/>
      <c r="G35" s="101" t="s">
        <v>26</v>
      </c>
      <c r="H35" s="101"/>
      <c r="I35" s="13"/>
    </row>
    <row r="36" spans="1:11" s="18" customFormat="1" ht="10" x14ac:dyDescent="0.2">
      <c r="A36" s="87"/>
      <c r="B36" s="88"/>
      <c r="C36" s="89"/>
      <c r="D36" s="130"/>
      <c r="E36" s="130"/>
      <c r="F36" s="130"/>
      <c r="G36" s="131"/>
      <c r="H36" s="131"/>
    </row>
    <row r="37" spans="1:11" s="18" customFormat="1" ht="10" x14ac:dyDescent="0.2">
      <c r="A37" s="88"/>
      <c r="B37" s="88"/>
      <c r="C37" s="89"/>
      <c r="D37" s="130"/>
      <c r="E37" s="130"/>
      <c r="F37" s="130"/>
      <c r="G37" s="131"/>
      <c r="H37" s="131"/>
    </row>
    <row r="38" spans="1:11" s="18" customFormat="1" ht="10" x14ac:dyDescent="0.2">
      <c r="A38" s="88"/>
      <c r="B38" s="88"/>
      <c r="C38" s="89"/>
      <c r="D38" s="130"/>
      <c r="E38" s="130"/>
      <c r="F38" s="130"/>
      <c r="G38" s="131"/>
      <c r="H38" s="131"/>
    </row>
    <row r="39" spans="1:11" s="18" customFormat="1" ht="10" x14ac:dyDescent="0.2">
      <c r="A39" s="88"/>
      <c r="B39" s="88"/>
      <c r="C39" s="89"/>
      <c r="D39" s="130"/>
      <c r="E39" s="130"/>
      <c r="F39" s="130"/>
      <c r="G39" s="131"/>
      <c r="H39" s="131"/>
    </row>
    <row r="40" spans="1:11" s="18" customFormat="1" ht="10" x14ac:dyDescent="0.2">
      <c r="A40" s="88"/>
      <c r="B40" s="88"/>
      <c r="C40" s="89"/>
      <c r="D40" s="130"/>
      <c r="E40" s="130"/>
      <c r="F40" s="130"/>
      <c r="G40" s="131"/>
      <c r="H40" s="131"/>
    </row>
    <row r="41" spans="1:11" s="18" customFormat="1" ht="10" x14ac:dyDescent="0.2">
      <c r="A41" s="88"/>
      <c r="B41" s="88"/>
      <c r="C41" s="89"/>
      <c r="D41" s="130"/>
      <c r="E41" s="130"/>
      <c r="F41" s="130"/>
      <c r="G41" s="131"/>
      <c r="H41" s="131"/>
    </row>
    <row r="42" spans="1:11" s="18" customFormat="1" ht="10" x14ac:dyDescent="0.2">
      <c r="A42" s="88"/>
      <c r="B42" s="88"/>
      <c r="C42" s="89"/>
      <c r="D42" s="130"/>
      <c r="E42" s="130"/>
      <c r="F42" s="130"/>
      <c r="G42" s="131"/>
      <c r="H42" s="131"/>
    </row>
    <row r="43" spans="1:11" s="18" customFormat="1" ht="10" x14ac:dyDescent="0.2">
      <c r="A43" s="88"/>
      <c r="B43" s="88"/>
      <c r="C43" s="89"/>
      <c r="D43" s="130"/>
      <c r="E43" s="130"/>
      <c r="F43" s="130"/>
      <c r="G43" s="131"/>
      <c r="H43" s="131"/>
    </row>
    <row r="44" spans="1:11" s="18" customFormat="1" ht="10" x14ac:dyDescent="0.2">
      <c r="A44" s="88"/>
      <c r="B44" s="88"/>
      <c r="C44" s="89"/>
      <c r="D44" s="130"/>
      <c r="E44" s="130"/>
      <c r="F44" s="130"/>
      <c r="G44" s="131"/>
      <c r="H44" s="131"/>
    </row>
    <row r="45" spans="1:11" s="18" customFormat="1" ht="10" x14ac:dyDescent="0.2">
      <c r="A45" s="88"/>
      <c r="B45" s="88"/>
      <c r="C45" s="89"/>
      <c r="D45" s="130"/>
      <c r="E45" s="130"/>
      <c r="F45" s="130"/>
      <c r="G45" s="131"/>
      <c r="H45" s="131"/>
    </row>
    <row r="46" spans="1:11" s="18" customFormat="1" ht="10" x14ac:dyDescent="0.2">
      <c r="A46" s="88"/>
      <c r="B46" s="88"/>
      <c r="C46" s="89"/>
      <c r="D46" s="130"/>
      <c r="E46" s="130"/>
      <c r="F46" s="130"/>
      <c r="G46" s="131"/>
      <c r="H46" s="131"/>
    </row>
    <row r="47" spans="1:11" s="18" customFormat="1" ht="10" x14ac:dyDescent="0.2">
      <c r="A47" s="88"/>
      <c r="B47" s="88"/>
      <c r="C47" s="89"/>
      <c r="D47" s="130"/>
      <c r="E47" s="130"/>
      <c r="F47" s="130"/>
      <c r="G47" s="131"/>
      <c r="H47" s="131"/>
    </row>
    <row r="48" spans="1:11" s="18" customFormat="1" ht="10" x14ac:dyDescent="0.2">
      <c r="A48" s="88"/>
      <c r="B48" s="88"/>
      <c r="C48" s="89"/>
      <c r="D48" s="130"/>
      <c r="E48" s="130"/>
      <c r="F48" s="130"/>
      <c r="G48" s="131"/>
      <c r="H48" s="131"/>
    </row>
    <row r="49" spans="1:8" s="18" customFormat="1" ht="10" x14ac:dyDescent="0.2">
      <c r="A49" s="88"/>
      <c r="B49" s="88"/>
      <c r="C49" s="89"/>
      <c r="D49" s="130"/>
      <c r="E49" s="130"/>
      <c r="F49" s="130"/>
      <c r="G49" s="131"/>
      <c r="H49" s="131"/>
    </row>
    <row r="50" spans="1:8" s="18" customFormat="1" ht="10" x14ac:dyDescent="0.2">
      <c r="A50" s="88"/>
      <c r="B50" s="88"/>
      <c r="C50" s="89"/>
      <c r="D50" s="130"/>
      <c r="E50" s="130"/>
      <c r="F50" s="130"/>
      <c r="G50" s="131"/>
      <c r="H50" s="131"/>
    </row>
    <row r="51" spans="1:8" s="18" customFormat="1" ht="10" x14ac:dyDescent="0.2">
      <c r="A51" s="88"/>
      <c r="B51" s="88"/>
      <c r="C51" s="89"/>
      <c r="D51" s="130"/>
      <c r="E51" s="130"/>
      <c r="F51" s="130"/>
      <c r="G51" s="131"/>
      <c r="H51" s="131"/>
    </row>
    <row r="52" spans="1:8" s="18" customFormat="1" ht="10" x14ac:dyDescent="0.2">
      <c r="A52" s="88"/>
      <c r="B52" s="88"/>
      <c r="C52" s="89"/>
      <c r="D52" s="130"/>
      <c r="E52" s="130"/>
      <c r="F52" s="130"/>
      <c r="G52" s="131"/>
      <c r="H52" s="131"/>
    </row>
    <row r="53" spans="1:8" s="18" customFormat="1" ht="10" x14ac:dyDescent="0.2">
      <c r="A53" s="88"/>
      <c r="B53" s="88"/>
      <c r="C53" s="89"/>
      <c r="D53" s="130"/>
      <c r="E53" s="130"/>
      <c r="F53" s="130"/>
      <c r="G53" s="131"/>
      <c r="H53" s="131"/>
    </row>
    <row r="54" spans="1:8" s="18" customFormat="1" ht="10" x14ac:dyDescent="0.2">
      <c r="A54" s="88"/>
      <c r="B54" s="88"/>
      <c r="C54" s="89"/>
      <c r="D54" s="130"/>
      <c r="E54" s="130"/>
      <c r="F54" s="130"/>
      <c r="G54" s="131"/>
      <c r="H54" s="131"/>
    </row>
    <row r="55" spans="1:8" s="18" customFormat="1" ht="10" x14ac:dyDescent="0.2">
      <c r="A55" s="88"/>
      <c r="B55" s="88"/>
      <c r="C55" s="89"/>
      <c r="D55" s="130"/>
      <c r="E55" s="130"/>
      <c r="F55" s="130"/>
      <c r="G55" s="131"/>
      <c r="H55" s="131"/>
    </row>
    <row r="56" spans="1:8" s="18" customFormat="1" ht="10" x14ac:dyDescent="0.2">
      <c r="A56" s="24"/>
      <c r="B56" s="24"/>
      <c r="C56" s="25"/>
      <c r="D56" s="133"/>
      <c r="E56" s="133"/>
      <c r="F56" s="133"/>
      <c r="G56" s="134"/>
      <c r="H56" s="134"/>
    </row>
    <row r="57" spans="1:8" s="18" customFormat="1" ht="10" x14ac:dyDescent="0.2">
      <c r="A57" s="24"/>
      <c r="B57" s="24"/>
      <c r="C57" s="25"/>
      <c r="D57" s="133"/>
      <c r="E57" s="133"/>
      <c r="F57" s="133"/>
      <c r="G57" s="134"/>
      <c r="H57" s="134"/>
    </row>
    <row r="58" spans="1:8" s="18" customFormat="1" ht="10" x14ac:dyDescent="0.2">
      <c r="A58" s="24"/>
      <c r="B58" s="24"/>
      <c r="C58" s="25"/>
      <c r="D58" s="133"/>
      <c r="E58" s="133"/>
      <c r="F58" s="133"/>
      <c r="G58" s="134"/>
      <c r="H58" s="134"/>
    </row>
    <row r="59" spans="1:8" s="18" customFormat="1" ht="10" x14ac:dyDescent="0.2">
      <c r="A59" s="24"/>
      <c r="B59" s="24"/>
      <c r="C59" s="25"/>
      <c r="D59" s="133"/>
      <c r="E59" s="133"/>
      <c r="F59" s="133"/>
      <c r="G59" s="134"/>
      <c r="H59" s="134"/>
    </row>
    <row r="60" spans="1:8" s="18" customFormat="1" ht="10" x14ac:dyDescent="0.2">
      <c r="A60" s="24"/>
      <c r="B60" s="24"/>
      <c r="C60" s="25"/>
      <c r="D60" s="133"/>
      <c r="E60" s="133"/>
      <c r="F60" s="133"/>
      <c r="G60" s="134"/>
      <c r="H60" s="134"/>
    </row>
    <row r="61" spans="1:8" s="18" customFormat="1" ht="10" x14ac:dyDescent="0.2">
      <c r="A61" s="24"/>
      <c r="B61" s="24"/>
      <c r="C61" s="25"/>
      <c r="D61" s="133"/>
      <c r="E61" s="133"/>
      <c r="F61" s="133"/>
      <c r="G61" s="134"/>
      <c r="H61" s="134"/>
    </row>
    <row r="62" spans="1:8" s="18" customFormat="1" ht="10" x14ac:dyDescent="0.2">
      <c r="A62" s="24"/>
      <c r="B62" s="24"/>
      <c r="C62" s="25"/>
      <c r="D62" s="133"/>
      <c r="E62" s="133"/>
      <c r="F62" s="133"/>
      <c r="G62" s="134"/>
      <c r="H62" s="134"/>
    </row>
    <row r="63" spans="1:8" s="18" customFormat="1" ht="10" x14ac:dyDescent="0.2">
      <c r="A63" s="24"/>
      <c r="B63" s="24"/>
      <c r="C63" s="25"/>
      <c r="D63" s="133"/>
      <c r="E63" s="133"/>
      <c r="F63" s="133"/>
      <c r="G63" s="134"/>
      <c r="H63" s="134"/>
    </row>
    <row r="64" spans="1:8" s="18" customFormat="1" ht="10" x14ac:dyDescent="0.2">
      <c r="A64" s="24"/>
      <c r="B64" s="24"/>
      <c r="C64" s="25"/>
      <c r="D64" s="133"/>
      <c r="E64" s="133"/>
      <c r="F64" s="133"/>
      <c r="G64" s="134"/>
      <c r="H64" s="134"/>
    </row>
    <row r="65" spans="1:8" s="18" customFormat="1" ht="10" x14ac:dyDescent="0.2">
      <c r="A65" s="24"/>
      <c r="B65" s="24"/>
      <c r="C65" s="25"/>
      <c r="D65" s="133"/>
      <c r="E65" s="133"/>
      <c r="F65" s="133"/>
      <c r="G65" s="134"/>
      <c r="H65" s="134"/>
    </row>
    <row r="66" spans="1:8" s="18" customFormat="1" ht="10" x14ac:dyDescent="0.2">
      <c r="A66" s="24"/>
      <c r="B66" s="24"/>
      <c r="C66" s="25"/>
      <c r="D66" s="133"/>
      <c r="E66" s="133"/>
      <c r="F66" s="133"/>
      <c r="G66" s="134"/>
      <c r="H66" s="134"/>
    </row>
    <row r="67" spans="1:8" s="18" customFormat="1" ht="10" x14ac:dyDescent="0.2">
      <c r="A67" s="24"/>
      <c r="B67" s="24"/>
      <c r="C67" s="25"/>
      <c r="D67" s="133"/>
      <c r="E67" s="133"/>
      <c r="F67" s="133"/>
      <c r="G67" s="134"/>
      <c r="H67" s="134"/>
    </row>
    <row r="68" spans="1:8" s="18" customFormat="1" ht="10" x14ac:dyDescent="0.2">
      <c r="A68" s="24"/>
      <c r="B68" s="24"/>
      <c r="C68" s="25"/>
      <c r="D68" s="133"/>
      <c r="E68" s="133"/>
      <c r="F68" s="133"/>
      <c r="G68" s="134"/>
      <c r="H68" s="134"/>
    </row>
    <row r="69" spans="1:8" s="18" customFormat="1" ht="10" x14ac:dyDescent="0.2">
      <c r="A69" s="24"/>
      <c r="B69" s="24"/>
      <c r="C69" s="25"/>
      <c r="D69" s="133"/>
      <c r="E69" s="133"/>
      <c r="F69" s="133"/>
      <c r="G69" s="134"/>
      <c r="H69" s="134"/>
    </row>
    <row r="70" spans="1:8" s="18" customFormat="1" ht="10" x14ac:dyDescent="0.2">
      <c r="A70" s="24"/>
      <c r="B70" s="24"/>
      <c r="C70" s="25"/>
      <c r="D70" s="133"/>
      <c r="E70" s="133"/>
      <c r="F70" s="133"/>
      <c r="G70" s="134"/>
      <c r="H70" s="134"/>
    </row>
    <row r="71" spans="1:8" s="18" customFormat="1" ht="10" x14ac:dyDescent="0.2">
      <c r="A71" s="24"/>
      <c r="B71" s="24"/>
      <c r="C71" s="25"/>
      <c r="D71" s="133"/>
      <c r="E71" s="133"/>
      <c r="F71" s="133"/>
      <c r="G71" s="134"/>
      <c r="H71" s="134"/>
    </row>
    <row r="72" spans="1:8" s="18" customFormat="1" ht="10" x14ac:dyDescent="0.2">
      <c r="A72" s="24"/>
      <c r="B72" s="24"/>
      <c r="C72" s="25"/>
      <c r="D72" s="133"/>
      <c r="E72" s="133"/>
      <c r="F72" s="133"/>
      <c r="G72" s="134"/>
      <c r="H72" s="134"/>
    </row>
    <row r="73" spans="1:8" s="18" customFormat="1" ht="10" x14ac:dyDescent="0.2">
      <c r="A73" s="24"/>
      <c r="B73" s="24"/>
      <c r="C73" s="25"/>
      <c r="D73" s="133"/>
      <c r="E73" s="133"/>
      <c r="F73" s="133"/>
      <c r="G73" s="134"/>
      <c r="H73" s="134"/>
    </row>
    <row r="74" spans="1:8" s="18" customFormat="1" ht="10" x14ac:dyDescent="0.2">
      <c r="A74" s="24"/>
      <c r="B74" s="24"/>
      <c r="C74" s="25"/>
      <c r="D74" s="133"/>
      <c r="E74" s="133"/>
      <c r="F74" s="133"/>
      <c r="G74" s="134"/>
      <c r="H74" s="134"/>
    </row>
    <row r="75" spans="1:8" s="18" customFormat="1" ht="10" x14ac:dyDescent="0.2">
      <c r="A75" s="24"/>
      <c r="B75" s="24"/>
      <c r="C75" s="25"/>
      <c r="D75" s="133"/>
      <c r="E75" s="133"/>
      <c r="F75" s="133"/>
      <c r="G75" s="134"/>
      <c r="H75" s="134"/>
    </row>
    <row r="76" spans="1:8" s="18" customFormat="1" ht="10" x14ac:dyDescent="0.2">
      <c r="A76" s="24"/>
      <c r="B76" s="24"/>
      <c r="C76" s="25"/>
      <c r="D76" s="133"/>
      <c r="E76" s="133"/>
      <c r="F76" s="133"/>
      <c r="G76" s="134"/>
      <c r="H76" s="134"/>
    </row>
    <row r="77" spans="1:8" s="18" customFormat="1" ht="10" x14ac:dyDescent="0.2">
      <c r="A77" s="24"/>
      <c r="B77" s="24"/>
      <c r="C77" s="25"/>
      <c r="D77" s="133"/>
      <c r="E77" s="133"/>
      <c r="F77" s="133"/>
      <c r="G77" s="134"/>
      <c r="H77" s="134"/>
    </row>
    <row r="78" spans="1:8" s="18" customFormat="1" ht="10" x14ac:dyDescent="0.2">
      <c r="A78" s="24"/>
      <c r="B78" s="24"/>
      <c r="C78" s="25"/>
      <c r="D78" s="133"/>
      <c r="E78" s="133"/>
      <c r="F78" s="133"/>
      <c r="G78" s="134"/>
      <c r="H78" s="134"/>
    </row>
    <row r="79" spans="1:8" s="18" customFormat="1" ht="10" x14ac:dyDescent="0.2">
      <c r="A79" s="24"/>
      <c r="B79" s="24"/>
      <c r="C79" s="25"/>
      <c r="D79" s="133"/>
      <c r="E79" s="133"/>
      <c r="F79" s="133"/>
      <c r="G79" s="134"/>
      <c r="H79" s="134"/>
    </row>
    <row r="80" spans="1:8" s="18" customFormat="1" ht="10" x14ac:dyDescent="0.2">
      <c r="A80" s="24"/>
      <c r="B80" s="24"/>
      <c r="C80" s="25"/>
      <c r="D80" s="133"/>
      <c r="E80" s="133"/>
      <c r="F80" s="133"/>
      <c r="G80" s="134"/>
      <c r="H80" s="134"/>
    </row>
    <row r="81" spans="1:8" s="18" customFormat="1" ht="10" x14ac:dyDescent="0.2">
      <c r="A81" s="24"/>
      <c r="B81" s="24"/>
      <c r="C81" s="25"/>
      <c r="D81" s="133"/>
      <c r="E81" s="133"/>
      <c r="F81" s="133"/>
      <c r="G81" s="134"/>
      <c r="H81" s="134"/>
    </row>
    <row r="82" spans="1:8" s="18" customFormat="1" ht="10" x14ac:dyDescent="0.2">
      <c r="A82" s="24"/>
      <c r="B82" s="24"/>
      <c r="C82" s="25"/>
      <c r="D82" s="133"/>
      <c r="E82" s="133"/>
      <c r="F82" s="133"/>
      <c r="G82" s="134"/>
      <c r="H82" s="134"/>
    </row>
    <row r="83" spans="1:8" s="18" customFormat="1" ht="10" x14ac:dyDescent="0.2">
      <c r="A83" s="24"/>
      <c r="B83" s="24"/>
      <c r="C83" s="25"/>
      <c r="D83" s="133"/>
      <c r="E83" s="133"/>
      <c r="F83" s="133"/>
      <c r="G83" s="134"/>
      <c r="H83" s="134"/>
    </row>
    <row r="84" spans="1:8" s="18" customFormat="1" ht="10" x14ac:dyDescent="0.2">
      <c r="A84" s="24"/>
      <c r="B84" s="24"/>
      <c r="C84" s="25"/>
      <c r="D84" s="133"/>
      <c r="E84" s="133"/>
      <c r="F84" s="133"/>
      <c r="G84" s="134"/>
      <c r="H84" s="134"/>
    </row>
    <row r="85" spans="1:8" s="18" customFormat="1" ht="10" x14ac:dyDescent="0.2">
      <c r="A85" s="24"/>
      <c r="B85" s="24"/>
      <c r="C85" s="25"/>
      <c r="D85" s="133"/>
      <c r="E85" s="133"/>
      <c r="F85" s="133"/>
      <c r="G85" s="134"/>
      <c r="H85" s="134"/>
    </row>
    <row r="86" spans="1:8" s="18" customFormat="1" ht="10" x14ac:dyDescent="0.2">
      <c r="A86" s="24"/>
      <c r="B86" s="24"/>
      <c r="C86" s="25"/>
      <c r="D86" s="133"/>
      <c r="E86" s="133"/>
      <c r="F86" s="133"/>
      <c r="G86" s="134"/>
      <c r="H86" s="134"/>
    </row>
    <row r="87" spans="1:8" s="18" customFormat="1" ht="10" x14ac:dyDescent="0.2">
      <c r="A87" s="24"/>
      <c r="B87" s="24"/>
      <c r="C87" s="25"/>
      <c r="D87" s="133"/>
      <c r="E87" s="133"/>
      <c r="F87" s="133"/>
      <c r="G87" s="134"/>
      <c r="H87" s="134"/>
    </row>
    <row r="88" spans="1:8" s="18" customFormat="1" ht="10" x14ac:dyDescent="0.2">
      <c r="A88" s="24"/>
      <c r="B88" s="24"/>
      <c r="C88" s="25"/>
      <c r="D88" s="133"/>
      <c r="E88" s="133"/>
      <c r="F88" s="133"/>
      <c r="G88" s="134"/>
      <c r="H88" s="134"/>
    </row>
    <row r="89" spans="1:8" s="18" customFormat="1" ht="10" x14ac:dyDescent="0.2">
      <c r="A89" s="24"/>
      <c r="B89" s="24"/>
      <c r="C89" s="25"/>
      <c r="D89" s="133"/>
      <c r="E89" s="133"/>
      <c r="F89" s="133"/>
      <c r="G89" s="134"/>
      <c r="H89" s="134"/>
    </row>
  </sheetData>
  <customSheetViews>
    <customSheetView guid="{186BA66B-1FFC-43CE-B9B2-CA76E0CBC62F}" topLeftCell="A7">
      <selection activeCell="A2" sqref="A2:F2"/>
      <pageMargins left="0.7" right="0.7" top="0.75" bottom="0.75" header="0.3" footer="0.3"/>
    </customSheetView>
  </customSheetViews>
  <mergeCells count="162">
    <mergeCell ref="A27:H27"/>
    <mergeCell ref="A28:H28"/>
    <mergeCell ref="A32:B32"/>
    <mergeCell ref="C32:H32"/>
    <mergeCell ref="A33:H33"/>
    <mergeCell ref="A29:B29"/>
    <mergeCell ref="C29:H29"/>
    <mergeCell ref="A30:B30"/>
    <mergeCell ref="C30:H30"/>
    <mergeCell ref="A31:B31"/>
    <mergeCell ref="C31:H31"/>
    <mergeCell ref="D89:F89"/>
    <mergeCell ref="G89:H89"/>
    <mergeCell ref="D82:F82"/>
    <mergeCell ref="G82:H82"/>
    <mergeCell ref="D83:F83"/>
    <mergeCell ref="G83:H83"/>
    <mergeCell ref="D84:F84"/>
    <mergeCell ref="G84:H84"/>
    <mergeCell ref="D85:F85"/>
    <mergeCell ref="G85:H85"/>
    <mergeCell ref="D87:F87"/>
    <mergeCell ref="G87:H87"/>
    <mergeCell ref="D88:F88"/>
    <mergeCell ref="G88:H88"/>
    <mergeCell ref="D86:F86"/>
    <mergeCell ref="G86:H86"/>
    <mergeCell ref="D73:F73"/>
    <mergeCell ref="G73:H73"/>
    <mergeCell ref="D70:F70"/>
    <mergeCell ref="G70:H70"/>
    <mergeCell ref="D71:F71"/>
    <mergeCell ref="G71:H71"/>
    <mergeCell ref="G72:H72"/>
    <mergeCell ref="D81:F81"/>
    <mergeCell ref="G81:H81"/>
    <mergeCell ref="D74:F74"/>
    <mergeCell ref="G74:H74"/>
    <mergeCell ref="D75:F75"/>
    <mergeCell ref="G75:H75"/>
    <mergeCell ref="D76:F76"/>
    <mergeCell ref="G76:H76"/>
    <mergeCell ref="D77:F77"/>
    <mergeCell ref="G77:H77"/>
    <mergeCell ref="D78:F78"/>
    <mergeCell ref="G78:H78"/>
    <mergeCell ref="D79:F79"/>
    <mergeCell ref="G79:H79"/>
    <mergeCell ref="D80:F80"/>
    <mergeCell ref="G80:H80"/>
    <mergeCell ref="D72:F72"/>
    <mergeCell ref="D65:F65"/>
    <mergeCell ref="G65:H65"/>
    <mergeCell ref="D62:F62"/>
    <mergeCell ref="G62:H62"/>
    <mergeCell ref="D63:F63"/>
    <mergeCell ref="G63:H63"/>
    <mergeCell ref="D68:F68"/>
    <mergeCell ref="G68:H68"/>
    <mergeCell ref="D69:F69"/>
    <mergeCell ref="G69:H69"/>
    <mergeCell ref="D66:F66"/>
    <mergeCell ref="G66:H66"/>
    <mergeCell ref="D67:F67"/>
    <mergeCell ref="G67:H67"/>
    <mergeCell ref="D60:F60"/>
    <mergeCell ref="G60:H60"/>
    <mergeCell ref="D61:F61"/>
    <mergeCell ref="G61:H61"/>
    <mergeCell ref="D58:F58"/>
    <mergeCell ref="G58:H58"/>
    <mergeCell ref="D59:F59"/>
    <mergeCell ref="G59:H59"/>
    <mergeCell ref="D64:F64"/>
    <mergeCell ref="G64:H64"/>
    <mergeCell ref="D53:F53"/>
    <mergeCell ref="G53:H53"/>
    <mergeCell ref="D50:F50"/>
    <mergeCell ref="G50:H50"/>
    <mergeCell ref="D51:F51"/>
    <mergeCell ref="G51:H51"/>
    <mergeCell ref="D56:F56"/>
    <mergeCell ref="G56:H56"/>
    <mergeCell ref="D57:F57"/>
    <mergeCell ref="G57:H57"/>
    <mergeCell ref="D54:F54"/>
    <mergeCell ref="G54:H54"/>
    <mergeCell ref="D55:F55"/>
    <mergeCell ref="G55:H55"/>
    <mergeCell ref="D48:F48"/>
    <mergeCell ref="G48:H48"/>
    <mergeCell ref="D49:F49"/>
    <mergeCell ref="G49:H49"/>
    <mergeCell ref="D46:F46"/>
    <mergeCell ref="G46:H46"/>
    <mergeCell ref="D47:F47"/>
    <mergeCell ref="G47:H47"/>
    <mergeCell ref="D52:F52"/>
    <mergeCell ref="G52:H52"/>
    <mergeCell ref="D41:F41"/>
    <mergeCell ref="G41:H41"/>
    <mergeCell ref="D38:F38"/>
    <mergeCell ref="G38:H38"/>
    <mergeCell ref="D39:F39"/>
    <mergeCell ref="G39:H39"/>
    <mergeCell ref="D44:F44"/>
    <mergeCell ref="G44:H44"/>
    <mergeCell ref="D45:F45"/>
    <mergeCell ref="G45:H45"/>
    <mergeCell ref="D42:F42"/>
    <mergeCell ref="G42:H42"/>
    <mergeCell ref="D43:F43"/>
    <mergeCell ref="G43:H43"/>
    <mergeCell ref="D37:F37"/>
    <mergeCell ref="G37:H37"/>
    <mergeCell ref="A34:B34"/>
    <mergeCell ref="C34:H34"/>
    <mergeCell ref="D35:F35"/>
    <mergeCell ref="G35:H35"/>
    <mergeCell ref="D36:F36"/>
    <mergeCell ref="G36:H36"/>
    <mergeCell ref="D40:F40"/>
    <mergeCell ref="G40:H40"/>
    <mergeCell ref="A26:H26"/>
    <mergeCell ref="A18:B18"/>
    <mergeCell ref="C18:H18"/>
    <mergeCell ref="A19:B19"/>
    <mergeCell ref="C19:H19"/>
    <mergeCell ref="A11:H11"/>
    <mergeCell ref="A20:B20"/>
    <mergeCell ref="C22:H22"/>
    <mergeCell ref="C20:H20"/>
    <mergeCell ref="A21:B21"/>
    <mergeCell ref="C13:H13"/>
    <mergeCell ref="A16:B16"/>
    <mergeCell ref="A24:H24"/>
    <mergeCell ref="A17:B17"/>
    <mergeCell ref="C17:H17"/>
    <mergeCell ref="A22:B22"/>
    <mergeCell ref="C16:H16"/>
    <mergeCell ref="A14:B14"/>
    <mergeCell ref="C14:H14"/>
    <mergeCell ref="A15:B15"/>
    <mergeCell ref="C15:H15"/>
    <mergeCell ref="A23:B23"/>
    <mergeCell ref="C23:H23"/>
    <mergeCell ref="A25:H25"/>
    <mergeCell ref="A12:B12"/>
    <mergeCell ref="C12:H12"/>
    <mergeCell ref="A1:F1"/>
    <mergeCell ref="G1:H2"/>
    <mergeCell ref="A2:F2"/>
    <mergeCell ref="A4:H4"/>
    <mergeCell ref="C21:H21"/>
    <mergeCell ref="A5:H5"/>
    <mergeCell ref="A13:B13"/>
    <mergeCell ref="B6:H6"/>
    <mergeCell ref="A9:H9"/>
    <mergeCell ref="B10:G10"/>
    <mergeCell ref="A8:H8"/>
    <mergeCell ref="B7:H7"/>
    <mergeCell ref="A3:H3"/>
  </mergeCells>
  <phoneticPr fontId="6" type="noConversion"/>
  <dataValidations disablePrompts="1" count="2">
    <dataValidation type="list" allowBlank="1" showInputMessage="1" sqref="G36:H89" xr:uid="{00000000-0002-0000-0000-000000000000}">
      <formula1>ResponsibleFullname</formula1>
    </dataValidation>
    <dataValidation type="list" allowBlank="1" showInputMessage="1" showErrorMessage="1" sqref="D36:F89" xr:uid="{00000000-0002-0000-0000-000001000000}">
      <formula1>CoverSheetRevHistDescriptions</formula1>
    </dataValidation>
  </dataValidations>
  <printOptions horizontalCentered="1"/>
  <pageMargins left="0.70866141732283472" right="0.70866141732283472" top="0.6" bottom="1.05" header="0.31496062992125984" footer="0.31496062992125984"/>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G100"/>
  <sheetViews>
    <sheetView workbookViewId="0">
      <pane ySplit="1" topLeftCell="A2" activePane="bottomLeft" state="frozen"/>
      <selection activeCell="A35" sqref="A35:B35"/>
      <selection pane="bottomLeft" activeCell="B25" sqref="B25"/>
    </sheetView>
  </sheetViews>
  <sheetFormatPr defaultColWidth="0" defaultRowHeight="12.5" x14ac:dyDescent="0.25"/>
  <cols>
    <col min="1" max="1" width="3.54296875" style="7" customWidth="1"/>
    <col min="2" max="2" width="55.54296875" style="19" customWidth="1"/>
    <col min="3" max="3" width="10.54296875" style="50" customWidth="1"/>
    <col min="4" max="4" width="6.54296875" style="51" customWidth="1"/>
    <col min="5" max="5" width="17.54296875" style="52" customWidth="1"/>
    <col min="6" max="6" width="25.54296875" style="52" customWidth="1"/>
    <col min="7" max="7" width="32.54296875" style="29" customWidth="1"/>
    <col min="8" max="16384" width="9.1796875" style="1" hidden="1"/>
  </cols>
  <sheetData>
    <row r="1" spans="1:7" ht="14.5" x14ac:dyDescent="0.35">
      <c r="A1" s="30"/>
      <c r="B1" s="31" t="s">
        <v>102</v>
      </c>
      <c r="C1" s="40" t="s">
        <v>11</v>
      </c>
      <c r="D1" s="39" t="s">
        <v>13</v>
      </c>
      <c r="E1" s="39" t="s">
        <v>12</v>
      </c>
      <c r="F1" s="39" t="s">
        <v>7</v>
      </c>
      <c r="G1" s="53" t="s">
        <v>10</v>
      </c>
    </row>
    <row r="2" spans="1:7" s="65" customFormat="1" ht="34.5" x14ac:dyDescent="0.25">
      <c r="A2" s="61"/>
      <c r="B2" s="62" t="s">
        <v>130</v>
      </c>
      <c r="C2" s="50"/>
      <c r="D2" s="51"/>
      <c r="E2" s="51" t="s">
        <v>146</v>
      </c>
      <c r="F2" s="63" t="s">
        <v>32</v>
      </c>
      <c r="G2" s="64"/>
    </row>
    <row r="3" spans="1:7" s="65" customFormat="1" ht="11.5" x14ac:dyDescent="0.25">
      <c r="A3" s="61"/>
      <c r="B3" s="66"/>
      <c r="C3" s="50"/>
      <c r="D3" s="51"/>
      <c r="E3" s="51"/>
      <c r="F3" s="63"/>
      <c r="G3" s="64"/>
    </row>
    <row r="4" spans="1:7" s="65" customFormat="1" ht="11.5" x14ac:dyDescent="0.25">
      <c r="A4" s="61"/>
      <c r="B4" s="66"/>
      <c r="C4" s="50"/>
      <c r="D4" s="51"/>
      <c r="E4" s="51"/>
      <c r="F4" s="51"/>
      <c r="G4" s="67"/>
    </row>
    <row r="5" spans="1:7" s="65" customFormat="1" ht="11.5" x14ac:dyDescent="0.25">
      <c r="A5" s="61"/>
      <c r="B5" s="66"/>
      <c r="C5" s="50"/>
      <c r="D5" s="51"/>
      <c r="E5" s="51"/>
      <c r="F5" s="51"/>
      <c r="G5" s="67"/>
    </row>
    <row r="6" spans="1:7" s="65" customFormat="1" ht="11.5" x14ac:dyDescent="0.25">
      <c r="A6" s="61"/>
      <c r="B6" s="66"/>
      <c r="C6" s="50"/>
      <c r="D6" s="51"/>
      <c r="E6" s="51"/>
      <c r="F6" s="51"/>
      <c r="G6" s="67"/>
    </row>
    <row r="7" spans="1:7" s="65" customFormat="1" ht="11.5" x14ac:dyDescent="0.25">
      <c r="A7" s="61"/>
      <c r="B7" s="66"/>
      <c r="C7" s="50"/>
      <c r="D7" s="51"/>
      <c r="E7" s="51"/>
      <c r="F7" s="51"/>
      <c r="G7" s="67"/>
    </row>
    <row r="8" spans="1:7" s="65" customFormat="1" ht="11.5" x14ac:dyDescent="0.25">
      <c r="A8" s="61"/>
      <c r="B8" s="66"/>
      <c r="C8" s="50"/>
      <c r="D8" s="51"/>
      <c r="E8" s="51"/>
      <c r="F8" s="51"/>
      <c r="G8" s="67"/>
    </row>
    <row r="9" spans="1:7" s="65" customFormat="1" ht="11.5" x14ac:dyDescent="0.25">
      <c r="A9" s="61"/>
      <c r="B9" s="66"/>
      <c r="C9" s="50"/>
      <c r="D9" s="51"/>
      <c r="E9" s="51"/>
      <c r="F9" s="51"/>
      <c r="G9" s="67"/>
    </row>
    <row r="10" spans="1:7" s="65" customFormat="1" ht="11.5" x14ac:dyDescent="0.25">
      <c r="A10" s="61"/>
      <c r="B10" s="66"/>
      <c r="C10" s="50"/>
      <c r="D10" s="51"/>
      <c r="E10" s="51"/>
      <c r="F10" s="51"/>
      <c r="G10" s="67"/>
    </row>
    <row r="11" spans="1:7" s="65" customFormat="1" ht="11.5" x14ac:dyDescent="0.25">
      <c r="A11" s="61"/>
      <c r="B11" s="66"/>
      <c r="C11" s="50"/>
      <c r="D11" s="51"/>
      <c r="E11" s="51"/>
      <c r="F11" s="51"/>
      <c r="G11" s="67"/>
    </row>
    <row r="12" spans="1:7" s="65" customFormat="1" ht="11.5" x14ac:dyDescent="0.25">
      <c r="A12" s="61"/>
      <c r="B12" s="66"/>
      <c r="C12" s="50"/>
      <c r="D12" s="51"/>
      <c r="E12" s="51"/>
      <c r="F12" s="51"/>
      <c r="G12" s="67"/>
    </row>
    <row r="13" spans="1:7" s="65" customFormat="1" ht="11.5" x14ac:dyDescent="0.25">
      <c r="A13" s="61"/>
      <c r="B13" s="66"/>
      <c r="C13" s="50"/>
      <c r="D13" s="51"/>
      <c r="E13" s="51"/>
      <c r="F13" s="51"/>
      <c r="G13" s="67"/>
    </row>
    <row r="14" spans="1:7" s="65" customFormat="1" ht="11.5" x14ac:dyDescent="0.25">
      <c r="A14" s="61"/>
      <c r="B14" s="66"/>
      <c r="C14" s="50"/>
      <c r="D14" s="51"/>
      <c r="E14" s="51"/>
      <c r="F14" s="51"/>
      <c r="G14" s="67"/>
    </row>
    <row r="15" spans="1:7" s="65" customFormat="1" ht="11.5" x14ac:dyDescent="0.25">
      <c r="A15" s="61"/>
      <c r="B15" s="66"/>
      <c r="C15" s="50"/>
      <c r="D15" s="51"/>
      <c r="E15" s="51"/>
      <c r="F15" s="51"/>
      <c r="G15" s="67"/>
    </row>
    <row r="16" spans="1:7" s="65" customFormat="1" ht="11.5" x14ac:dyDescent="0.25">
      <c r="A16" s="61"/>
      <c r="B16" s="66"/>
      <c r="C16" s="50"/>
      <c r="D16" s="51"/>
      <c r="E16" s="51"/>
      <c r="F16" s="51"/>
      <c r="G16" s="67"/>
    </row>
    <row r="17" spans="1:7" s="65" customFormat="1" ht="11.5" x14ac:dyDescent="0.25">
      <c r="A17" s="61"/>
      <c r="B17" s="66"/>
      <c r="C17" s="50"/>
      <c r="D17" s="51"/>
      <c r="E17" s="51"/>
      <c r="F17" s="51"/>
      <c r="G17" s="67"/>
    </row>
    <row r="18" spans="1:7" s="65" customFormat="1" ht="11.5" x14ac:dyDescent="0.25">
      <c r="A18" s="61"/>
      <c r="B18" s="66"/>
      <c r="C18" s="50"/>
      <c r="D18" s="51"/>
      <c r="E18" s="51"/>
      <c r="F18" s="51"/>
      <c r="G18" s="67"/>
    </row>
    <row r="19" spans="1:7" s="65" customFormat="1" ht="11.5" x14ac:dyDescent="0.25">
      <c r="A19" s="61"/>
      <c r="B19" s="66"/>
      <c r="C19" s="50"/>
      <c r="D19" s="51"/>
      <c r="E19" s="51"/>
      <c r="F19" s="51"/>
      <c r="G19" s="67"/>
    </row>
    <row r="20" spans="1:7" s="65" customFormat="1" ht="11.5" x14ac:dyDescent="0.25">
      <c r="A20" s="61"/>
      <c r="B20" s="66"/>
      <c r="C20" s="50"/>
      <c r="D20" s="51"/>
      <c r="E20" s="51"/>
      <c r="F20" s="51"/>
      <c r="G20" s="67"/>
    </row>
    <row r="21" spans="1:7" s="65" customFormat="1" ht="11.5" x14ac:dyDescent="0.25">
      <c r="A21" s="61"/>
      <c r="B21" s="66"/>
      <c r="C21" s="50"/>
      <c r="D21" s="51"/>
      <c r="E21" s="51"/>
      <c r="F21" s="51"/>
      <c r="G21" s="67"/>
    </row>
    <row r="22" spans="1:7" s="65" customFormat="1" ht="11.5" x14ac:dyDescent="0.25">
      <c r="A22" s="61"/>
      <c r="B22" s="66"/>
      <c r="C22" s="50"/>
      <c r="D22" s="51"/>
      <c r="E22" s="51"/>
      <c r="F22" s="51"/>
      <c r="G22" s="67"/>
    </row>
    <row r="23" spans="1:7" s="65" customFormat="1" ht="11.5" x14ac:dyDescent="0.25">
      <c r="A23" s="61"/>
      <c r="B23" s="66"/>
      <c r="C23" s="50"/>
      <c r="D23" s="51"/>
      <c r="E23" s="51"/>
      <c r="F23" s="51"/>
      <c r="G23" s="67"/>
    </row>
    <row r="24" spans="1:7" s="65" customFormat="1" ht="11.5" x14ac:dyDescent="0.25">
      <c r="A24" s="61"/>
      <c r="B24" s="66"/>
      <c r="C24" s="50"/>
      <c r="D24" s="51"/>
      <c r="E24" s="51"/>
      <c r="F24" s="51"/>
      <c r="G24" s="67"/>
    </row>
    <row r="25" spans="1:7" s="65" customFormat="1" ht="11.5" x14ac:dyDescent="0.25">
      <c r="A25" s="61"/>
      <c r="B25" s="66"/>
      <c r="C25" s="50"/>
      <c r="D25" s="51"/>
      <c r="E25" s="51"/>
      <c r="F25" s="51"/>
      <c r="G25" s="67"/>
    </row>
    <row r="26" spans="1:7" s="65" customFormat="1" ht="11.5" x14ac:dyDescent="0.25">
      <c r="A26" s="61"/>
      <c r="B26" s="66"/>
      <c r="C26" s="50"/>
      <c r="D26" s="51"/>
      <c r="E26" s="51"/>
      <c r="F26" s="51"/>
      <c r="G26" s="67"/>
    </row>
    <row r="27" spans="1:7" s="65" customFormat="1" ht="11.5" x14ac:dyDescent="0.25">
      <c r="A27" s="61"/>
      <c r="B27" s="66"/>
      <c r="C27" s="50"/>
      <c r="D27" s="51"/>
      <c r="E27" s="51"/>
      <c r="F27" s="51"/>
      <c r="G27" s="67"/>
    </row>
    <row r="28" spans="1:7" s="65" customFormat="1" ht="11.5" x14ac:dyDescent="0.25">
      <c r="A28" s="61"/>
      <c r="B28" s="66"/>
      <c r="C28" s="50"/>
      <c r="D28" s="51"/>
      <c r="E28" s="51"/>
      <c r="F28" s="51"/>
      <c r="G28" s="67"/>
    </row>
    <row r="29" spans="1:7" s="65" customFormat="1" ht="11.5" x14ac:dyDescent="0.25">
      <c r="A29" s="61"/>
      <c r="B29" s="66"/>
      <c r="C29" s="50"/>
      <c r="D29" s="51"/>
      <c r="E29" s="51"/>
      <c r="F29" s="51"/>
      <c r="G29" s="67"/>
    </row>
    <row r="30" spans="1:7" s="65" customFormat="1" ht="11.5" x14ac:dyDescent="0.25">
      <c r="A30" s="61"/>
      <c r="B30" s="66"/>
      <c r="C30" s="50"/>
      <c r="D30" s="51"/>
      <c r="E30" s="51"/>
      <c r="F30" s="51"/>
      <c r="G30" s="67"/>
    </row>
    <row r="31" spans="1:7" s="65" customFormat="1" ht="11.5" x14ac:dyDescent="0.25">
      <c r="A31" s="61"/>
      <c r="B31" s="66"/>
      <c r="C31" s="50"/>
      <c r="D31" s="51"/>
      <c r="E31" s="51"/>
      <c r="F31" s="51"/>
      <c r="G31" s="67"/>
    </row>
    <row r="32" spans="1:7" s="65" customFormat="1" ht="11.5" x14ac:dyDescent="0.25">
      <c r="A32" s="61"/>
      <c r="B32" s="66"/>
      <c r="C32" s="50"/>
      <c r="D32" s="51"/>
      <c r="E32" s="51"/>
      <c r="F32" s="51"/>
      <c r="G32" s="67"/>
    </row>
    <row r="33" spans="1:7" s="65" customFormat="1" ht="11.5" x14ac:dyDescent="0.25">
      <c r="A33" s="61"/>
      <c r="B33" s="66"/>
      <c r="C33" s="50"/>
      <c r="D33" s="51"/>
      <c r="E33" s="51"/>
      <c r="F33" s="51"/>
      <c r="G33" s="67"/>
    </row>
    <row r="34" spans="1:7" s="65" customFormat="1" ht="11.5" x14ac:dyDescent="0.25">
      <c r="A34" s="61"/>
      <c r="B34" s="66"/>
      <c r="C34" s="50"/>
      <c r="D34" s="51"/>
      <c r="E34" s="51"/>
      <c r="F34" s="51"/>
      <c r="G34" s="67"/>
    </row>
    <row r="35" spans="1:7" s="65" customFormat="1" ht="11.5" x14ac:dyDescent="0.25">
      <c r="A35" s="61"/>
      <c r="B35" s="66"/>
      <c r="C35" s="50"/>
      <c r="D35" s="51"/>
      <c r="E35" s="51"/>
      <c r="F35" s="51"/>
      <c r="G35" s="67"/>
    </row>
    <row r="36" spans="1:7" s="65" customFormat="1" ht="11.5" x14ac:dyDescent="0.25">
      <c r="A36" s="61"/>
      <c r="B36" s="66"/>
      <c r="C36" s="50"/>
      <c r="D36" s="51"/>
      <c r="E36" s="51"/>
      <c r="F36" s="51"/>
      <c r="G36" s="67"/>
    </row>
    <row r="37" spans="1:7" s="65" customFormat="1" ht="11.5" x14ac:dyDescent="0.25">
      <c r="A37" s="61"/>
      <c r="B37" s="66"/>
      <c r="C37" s="50"/>
      <c r="D37" s="51"/>
      <c r="E37" s="51"/>
      <c r="F37" s="51"/>
      <c r="G37" s="67"/>
    </row>
    <row r="38" spans="1:7" s="65" customFormat="1" ht="11.5" x14ac:dyDescent="0.25">
      <c r="A38" s="61"/>
      <c r="B38" s="66"/>
      <c r="C38" s="50"/>
      <c r="D38" s="51"/>
      <c r="E38" s="51"/>
      <c r="F38" s="51"/>
      <c r="G38" s="67"/>
    </row>
    <row r="39" spans="1:7" s="65" customFormat="1" ht="11.5" x14ac:dyDescent="0.25">
      <c r="A39" s="61"/>
      <c r="B39" s="66"/>
      <c r="C39" s="50"/>
      <c r="D39" s="51"/>
      <c r="E39" s="51"/>
      <c r="F39" s="51"/>
      <c r="G39" s="67"/>
    </row>
    <row r="40" spans="1:7" s="65" customFormat="1" ht="11.5" x14ac:dyDescent="0.25">
      <c r="A40" s="61"/>
      <c r="B40" s="66"/>
      <c r="C40" s="50"/>
      <c r="D40" s="51"/>
      <c r="E40" s="51"/>
      <c r="F40" s="51"/>
      <c r="G40" s="67"/>
    </row>
    <row r="41" spans="1:7" s="65" customFormat="1" ht="11.5" x14ac:dyDescent="0.25">
      <c r="A41" s="61"/>
      <c r="B41" s="66"/>
      <c r="C41" s="50"/>
      <c r="D41" s="51"/>
      <c r="E41" s="51"/>
      <c r="F41" s="51"/>
      <c r="G41" s="67"/>
    </row>
    <row r="42" spans="1:7" s="65" customFormat="1" ht="11.5" x14ac:dyDescent="0.25">
      <c r="A42" s="61"/>
      <c r="B42" s="66"/>
      <c r="C42" s="50"/>
      <c r="D42" s="51"/>
      <c r="E42" s="51"/>
      <c r="F42" s="51"/>
      <c r="G42" s="67"/>
    </row>
    <row r="43" spans="1:7" s="65" customFormat="1" ht="11.5" x14ac:dyDescent="0.25">
      <c r="A43" s="61"/>
      <c r="B43" s="66"/>
      <c r="C43" s="50"/>
      <c r="D43" s="51"/>
      <c r="E43" s="51"/>
      <c r="F43" s="51"/>
      <c r="G43" s="67"/>
    </row>
    <row r="44" spans="1:7" s="65" customFormat="1" ht="11.5" x14ac:dyDescent="0.25">
      <c r="A44" s="61"/>
      <c r="B44" s="66"/>
      <c r="C44" s="50"/>
      <c r="D44" s="51"/>
      <c r="E44" s="51"/>
      <c r="F44" s="51"/>
      <c r="G44" s="67"/>
    </row>
    <row r="45" spans="1:7" s="65" customFormat="1" ht="11.5" x14ac:dyDescent="0.25">
      <c r="A45" s="61"/>
      <c r="B45" s="66"/>
      <c r="C45" s="50"/>
      <c r="D45" s="51"/>
      <c r="E45" s="51"/>
      <c r="F45" s="51"/>
      <c r="G45" s="67"/>
    </row>
    <row r="46" spans="1:7" s="65" customFormat="1" ht="11.5" x14ac:dyDescent="0.25">
      <c r="A46" s="61"/>
      <c r="B46" s="66"/>
      <c r="C46" s="50"/>
      <c r="D46" s="51"/>
      <c r="E46" s="51"/>
      <c r="F46" s="51"/>
      <c r="G46" s="67"/>
    </row>
    <row r="47" spans="1:7" s="65" customFormat="1" ht="11.5" x14ac:dyDescent="0.25">
      <c r="A47" s="61"/>
      <c r="B47" s="66"/>
      <c r="C47" s="50"/>
      <c r="D47" s="51"/>
      <c r="E47" s="51"/>
      <c r="F47" s="51"/>
      <c r="G47" s="67"/>
    </row>
    <row r="48" spans="1:7" s="65" customFormat="1" ht="11.5" x14ac:dyDescent="0.25">
      <c r="A48" s="61"/>
      <c r="B48" s="66"/>
      <c r="C48" s="50"/>
      <c r="D48" s="51"/>
      <c r="E48" s="51"/>
      <c r="F48" s="51"/>
      <c r="G48" s="67"/>
    </row>
    <row r="49" spans="1:7" s="65" customFormat="1" ht="11.5" x14ac:dyDescent="0.25">
      <c r="A49" s="61"/>
      <c r="B49" s="66"/>
      <c r="C49" s="50"/>
      <c r="D49" s="51"/>
      <c r="E49" s="51"/>
      <c r="F49" s="51"/>
      <c r="G49" s="67"/>
    </row>
    <row r="50" spans="1:7" s="65" customFormat="1" ht="11.5" x14ac:dyDescent="0.25">
      <c r="A50" s="61"/>
      <c r="B50" s="66"/>
      <c r="C50" s="50"/>
      <c r="D50" s="51"/>
      <c r="E50" s="51"/>
      <c r="F50" s="51"/>
      <c r="G50" s="67"/>
    </row>
    <row r="51" spans="1:7" s="65" customFormat="1" ht="11.5" x14ac:dyDescent="0.25">
      <c r="A51" s="61"/>
      <c r="B51" s="66"/>
      <c r="C51" s="50"/>
      <c r="D51" s="51"/>
      <c r="E51" s="51"/>
      <c r="F51" s="51"/>
      <c r="G51" s="67"/>
    </row>
    <row r="52" spans="1:7" s="65" customFormat="1" ht="11.5" x14ac:dyDescent="0.25">
      <c r="A52" s="61"/>
      <c r="B52" s="66"/>
      <c r="C52" s="50"/>
      <c r="D52" s="51"/>
      <c r="E52" s="51"/>
      <c r="F52" s="51"/>
      <c r="G52" s="67"/>
    </row>
    <row r="53" spans="1:7" s="65" customFormat="1" ht="11.5" x14ac:dyDescent="0.25">
      <c r="A53" s="61"/>
      <c r="B53" s="66"/>
      <c r="C53" s="50"/>
      <c r="D53" s="51"/>
      <c r="E53" s="51"/>
      <c r="F53" s="51"/>
      <c r="G53" s="67"/>
    </row>
    <row r="54" spans="1:7" s="65" customFormat="1" ht="11.5" x14ac:dyDescent="0.25">
      <c r="A54" s="61"/>
      <c r="B54" s="66"/>
      <c r="C54" s="50"/>
      <c r="D54" s="51"/>
      <c r="E54" s="51"/>
      <c r="F54" s="51"/>
      <c r="G54" s="67"/>
    </row>
    <row r="55" spans="1:7" s="65" customFormat="1" ht="11.5" x14ac:dyDescent="0.25">
      <c r="A55" s="61"/>
      <c r="B55" s="66"/>
      <c r="C55" s="50"/>
      <c r="D55" s="51"/>
      <c r="E55" s="51"/>
      <c r="F55" s="51"/>
      <c r="G55" s="67"/>
    </row>
    <row r="56" spans="1:7" s="65" customFormat="1" ht="11.5" x14ac:dyDescent="0.25">
      <c r="A56" s="61"/>
      <c r="B56" s="66"/>
      <c r="C56" s="50"/>
      <c r="D56" s="51"/>
      <c r="E56" s="51"/>
      <c r="F56" s="51"/>
      <c r="G56" s="67"/>
    </row>
    <row r="57" spans="1:7" s="65" customFormat="1" ht="11.5" x14ac:dyDescent="0.25">
      <c r="A57" s="61"/>
      <c r="B57" s="66"/>
      <c r="C57" s="50"/>
      <c r="D57" s="51"/>
      <c r="E57" s="51"/>
      <c r="F57" s="51"/>
      <c r="G57" s="67"/>
    </row>
    <row r="58" spans="1:7" s="65" customFormat="1" ht="11.5" x14ac:dyDescent="0.25">
      <c r="A58" s="61"/>
      <c r="B58" s="66"/>
      <c r="C58" s="50"/>
      <c r="D58" s="51"/>
      <c r="E58" s="51"/>
      <c r="F58" s="51"/>
      <c r="G58" s="67"/>
    </row>
    <row r="59" spans="1:7" s="65" customFormat="1" ht="11.5" x14ac:dyDescent="0.25">
      <c r="A59" s="61"/>
      <c r="B59" s="66"/>
      <c r="C59" s="50"/>
      <c r="D59" s="51"/>
      <c r="E59" s="51"/>
      <c r="F59" s="51"/>
      <c r="G59" s="67"/>
    </row>
    <row r="60" spans="1:7" s="65" customFormat="1" ht="11.5" x14ac:dyDescent="0.25">
      <c r="A60" s="61"/>
      <c r="B60" s="66"/>
      <c r="C60" s="50"/>
      <c r="D60" s="51"/>
      <c r="E60" s="51"/>
      <c r="F60" s="51"/>
      <c r="G60" s="67"/>
    </row>
    <row r="61" spans="1:7" s="65" customFormat="1" ht="11.5" x14ac:dyDescent="0.25">
      <c r="A61" s="61"/>
      <c r="B61" s="66"/>
      <c r="C61" s="50"/>
      <c r="D61" s="51"/>
      <c r="E61" s="51"/>
      <c r="F61" s="51"/>
      <c r="G61" s="67"/>
    </row>
    <row r="62" spans="1:7" s="65" customFormat="1" ht="11.5" x14ac:dyDescent="0.25">
      <c r="A62" s="61"/>
      <c r="B62" s="66"/>
      <c r="C62" s="50"/>
      <c r="D62" s="51"/>
      <c r="E62" s="51"/>
      <c r="F62" s="51"/>
      <c r="G62" s="67"/>
    </row>
    <row r="63" spans="1:7" s="65" customFormat="1" ht="11.5" x14ac:dyDescent="0.25">
      <c r="A63" s="61"/>
      <c r="B63" s="66"/>
      <c r="C63" s="50"/>
      <c r="D63" s="51"/>
      <c r="E63" s="51"/>
      <c r="F63" s="51"/>
      <c r="G63" s="67"/>
    </row>
    <row r="64" spans="1:7" s="65" customFormat="1" ht="11.5" x14ac:dyDescent="0.25">
      <c r="A64" s="61"/>
      <c r="B64" s="66"/>
      <c r="C64" s="50"/>
      <c r="D64" s="51"/>
      <c r="E64" s="51"/>
      <c r="F64" s="51"/>
      <c r="G64" s="67"/>
    </row>
    <row r="65" spans="1:7" s="65" customFormat="1" ht="11.5" x14ac:dyDescent="0.25">
      <c r="A65" s="61"/>
      <c r="B65" s="66"/>
      <c r="C65" s="50"/>
      <c r="D65" s="51"/>
      <c r="E65" s="51"/>
      <c r="F65" s="51"/>
      <c r="G65" s="67"/>
    </row>
    <row r="66" spans="1:7" s="65" customFormat="1" ht="11.5" x14ac:dyDescent="0.25">
      <c r="A66" s="61"/>
      <c r="B66" s="66"/>
      <c r="C66" s="50"/>
      <c r="D66" s="51"/>
      <c r="E66" s="51"/>
      <c r="F66" s="51"/>
      <c r="G66" s="67"/>
    </row>
    <row r="67" spans="1:7" s="65" customFormat="1" ht="11.5" x14ac:dyDescent="0.25">
      <c r="A67" s="61"/>
      <c r="B67" s="66"/>
      <c r="C67" s="50"/>
      <c r="D67" s="51"/>
      <c r="E67" s="51"/>
      <c r="F67" s="51"/>
      <c r="G67" s="67"/>
    </row>
    <row r="68" spans="1:7" s="65" customFormat="1" ht="11.5" x14ac:dyDescent="0.25">
      <c r="A68" s="61"/>
      <c r="B68" s="66"/>
      <c r="C68" s="50"/>
      <c r="D68" s="51"/>
      <c r="E68" s="51"/>
      <c r="F68" s="51"/>
      <c r="G68" s="67"/>
    </row>
    <row r="69" spans="1:7" s="65" customFormat="1" ht="11.5" x14ac:dyDescent="0.25">
      <c r="A69" s="61"/>
      <c r="B69" s="66"/>
      <c r="C69" s="50"/>
      <c r="D69" s="51"/>
      <c r="E69" s="51"/>
      <c r="F69" s="51"/>
      <c r="G69" s="67"/>
    </row>
    <row r="70" spans="1:7" s="65" customFormat="1" ht="11.5" x14ac:dyDescent="0.25">
      <c r="A70" s="61"/>
      <c r="B70" s="66"/>
      <c r="C70" s="50"/>
      <c r="D70" s="51"/>
      <c r="E70" s="51"/>
      <c r="F70" s="51"/>
      <c r="G70" s="67"/>
    </row>
    <row r="71" spans="1:7" s="65" customFormat="1" ht="11.5" x14ac:dyDescent="0.25">
      <c r="A71" s="61"/>
      <c r="B71" s="66"/>
      <c r="C71" s="50"/>
      <c r="D71" s="51"/>
      <c r="E71" s="51"/>
      <c r="F71" s="51"/>
      <c r="G71" s="67"/>
    </row>
    <row r="72" spans="1:7" s="65" customFormat="1" ht="11.5" x14ac:dyDescent="0.25">
      <c r="A72" s="61"/>
      <c r="B72" s="66"/>
      <c r="C72" s="50"/>
      <c r="D72" s="51"/>
      <c r="E72" s="51"/>
      <c r="F72" s="51"/>
      <c r="G72" s="67"/>
    </row>
    <row r="73" spans="1:7" s="65" customFormat="1" ht="11.5" x14ac:dyDescent="0.25">
      <c r="A73" s="61"/>
      <c r="B73" s="66"/>
      <c r="C73" s="50"/>
      <c r="D73" s="51"/>
      <c r="E73" s="51"/>
      <c r="F73" s="51"/>
      <c r="G73" s="67"/>
    </row>
    <row r="74" spans="1:7" s="65" customFormat="1" ht="11.5" x14ac:dyDescent="0.25">
      <c r="A74" s="61"/>
      <c r="B74" s="66"/>
      <c r="C74" s="50"/>
      <c r="D74" s="51"/>
      <c r="E74" s="51"/>
      <c r="F74" s="51"/>
      <c r="G74" s="67"/>
    </row>
    <row r="75" spans="1:7" s="65" customFormat="1" ht="11.5" x14ac:dyDescent="0.25">
      <c r="A75" s="61"/>
      <c r="B75" s="66"/>
      <c r="C75" s="50"/>
      <c r="D75" s="51"/>
      <c r="E75" s="51"/>
      <c r="F75" s="51"/>
      <c r="G75" s="67"/>
    </row>
    <row r="76" spans="1:7" s="65" customFormat="1" ht="11.5" x14ac:dyDescent="0.25">
      <c r="A76" s="61"/>
      <c r="B76" s="66"/>
      <c r="C76" s="50"/>
      <c r="D76" s="51"/>
      <c r="E76" s="51"/>
      <c r="F76" s="51"/>
      <c r="G76" s="67"/>
    </row>
    <row r="77" spans="1:7" s="65" customFormat="1" ht="11.5" x14ac:dyDescent="0.25">
      <c r="A77" s="61"/>
      <c r="B77" s="66"/>
      <c r="C77" s="50"/>
      <c r="D77" s="51"/>
      <c r="E77" s="51"/>
      <c r="F77" s="51"/>
      <c r="G77" s="67"/>
    </row>
    <row r="78" spans="1:7" s="65" customFormat="1" ht="11.5" x14ac:dyDescent="0.25">
      <c r="A78" s="61"/>
      <c r="B78" s="66"/>
      <c r="C78" s="50"/>
      <c r="D78" s="51"/>
      <c r="E78" s="51"/>
      <c r="F78" s="51"/>
      <c r="G78" s="67"/>
    </row>
    <row r="79" spans="1:7" s="65" customFormat="1" ht="11.5" x14ac:dyDescent="0.25">
      <c r="A79" s="61"/>
      <c r="B79" s="66"/>
      <c r="C79" s="50"/>
      <c r="D79" s="51"/>
      <c r="E79" s="51"/>
      <c r="F79" s="51"/>
      <c r="G79" s="67"/>
    </row>
    <row r="80" spans="1:7" s="65" customFormat="1" ht="11.5" x14ac:dyDescent="0.25">
      <c r="A80" s="61"/>
      <c r="B80" s="66"/>
      <c r="C80" s="50"/>
      <c r="D80" s="51"/>
      <c r="E80" s="51"/>
      <c r="F80" s="51"/>
      <c r="G80" s="67"/>
    </row>
    <row r="81" spans="1:7" s="65" customFormat="1" ht="11.5" x14ac:dyDescent="0.25">
      <c r="A81" s="61"/>
      <c r="B81" s="66"/>
      <c r="C81" s="50"/>
      <c r="D81" s="51"/>
      <c r="E81" s="51"/>
      <c r="F81" s="51"/>
      <c r="G81" s="67"/>
    </row>
    <row r="82" spans="1:7" s="65" customFormat="1" ht="11.5" x14ac:dyDescent="0.25">
      <c r="A82" s="61"/>
      <c r="B82" s="66"/>
      <c r="C82" s="50"/>
      <c r="D82" s="51"/>
      <c r="E82" s="51"/>
      <c r="F82" s="51"/>
      <c r="G82" s="67"/>
    </row>
    <row r="83" spans="1:7" s="65" customFormat="1" ht="11.5" x14ac:dyDescent="0.25">
      <c r="A83" s="61"/>
      <c r="B83" s="66"/>
      <c r="C83" s="50"/>
      <c r="D83" s="51"/>
      <c r="E83" s="51"/>
      <c r="F83" s="51"/>
      <c r="G83" s="67"/>
    </row>
    <row r="84" spans="1:7" s="65" customFormat="1" ht="11.5" x14ac:dyDescent="0.25">
      <c r="A84" s="61"/>
      <c r="B84" s="66"/>
      <c r="C84" s="50"/>
      <c r="D84" s="51"/>
      <c r="E84" s="51"/>
      <c r="F84" s="51"/>
      <c r="G84" s="67"/>
    </row>
    <row r="85" spans="1:7" s="65" customFormat="1" ht="11.5" x14ac:dyDescent="0.25">
      <c r="A85" s="61"/>
      <c r="B85" s="66"/>
      <c r="C85" s="50"/>
      <c r="D85" s="51"/>
      <c r="E85" s="51"/>
      <c r="F85" s="51"/>
      <c r="G85" s="67"/>
    </row>
    <row r="86" spans="1:7" s="65" customFormat="1" ht="11.5" x14ac:dyDescent="0.25">
      <c r="A86" s="61"/>
      <c r="B86" s="66"/>
      <c r="C86" s="50"/>
      <c r="D86" s="51"/>
      <c r="E86" s="51"/>
      <c r="F86" s="51"/>
      <c r="G86" s="67"/>
    </row>
    <row r="87" spans="1:7" s="65" customFormat="1" ht="11.5" x14ac:dyDescent="0.25">
      <c r="A87" s="61"/>
      <c r="B87" s="66"/>
      <c r="C87" s="50"/>
      <c r="D87" s="51"/>
      <c r="E87" s="51"/>
      <c r="F87" s="51"/>
      <c r="G87" s="67"/>
    </row>
    <row r="88" spans="1:7" s="65" customFormat="1" ht="11.5" x14ac:dyDescent="0.25">
      <c r="A88" s="61"/>
      <c r="B88" s="66"/>
      <c r="C88" s="50"/>
      <c r="D88" s="51"/>
      <c r="E88" s="51"/>
      <c r="F88" s="51"/>
      <c r="G88" s="67"/>
    </row>
    <row r="89" spans="1:7" s="65" customFormat="1" ht="11.5" x14ac:dyDescent="0.25">
      <c r="A89" s="61"/>
      <c r="B89" s="66"/>
      <c r="C89" s="50"/>
      <c r="D89" s="51"/>
      <c r="E89" s="51"/>
      <c r="F89" s="51"/>
      <c r="G89" s="67"/>
    </row>
    <row r="90" spans="1:7" s="65" customFormat="1" ht="11.5" x14ac:dyDescent="0.25">
      <c r="A90" s="61"/>
      <c r="B90" s="66"/>
      <c r="C90" s="50"/>
      <c r="D90" s="51"/>
      <c r="E90" s="51"/>
      <c r="F90" s="51"/>
      <c r="G90" s="67"/>
    </row>
    <row r="91" spans="1:7" s="65" customFormat="1" ht="11.5" x14ac:dyDescent="0.25">
      <c r="A91" s="61"/>
      <c r="B91" s="66"/>
      <c r="C91" s="50"/>
      <c r="D91" s="51"/>
      <c r="E91" s="51"/>
      <c r="F91" s="51"/>
      <c r="G91" s="67"/>
    </row>
    <row r="92" spans="1:7" s="65" customFormat="1" ht="11.5" x14ac:dyDescent="0.25">
      <c r="A92" s="61"/>
      <c r="B92" s="66"/>
      <c r="C92" s="50"/>
      <c r="D92" s="51"/>
      <c r="E92" s="51"/>
      <c r="F92" s="51"/>
      <c r="G92" s="67"/>
    </row>
    <row r="93" spans="1:7" s="65" customFormat="1" ht="11.5" x14ac:dyDescent="0.25">
      <c r="A93" s="61"/>
      <c r="B93" s="66"/>
      <c r="C93" s="50"/>
      <c r="D93" s="51"/>
      <c r="E93" s="51"/>
      <c r="F93" s="51"/>
      <c r="G93" s="67"/>
    </row>
    <row r="94" spans="1:7" s="65" customFormat="1" ht="11.5" x14ac:dyDescent="0.25">
      <c r="A94" s="61"/>
      <c r="B94" s="66"/>
      <c r="C94" s="50"/>
      <c r="D94" s="51"/>
      <c r="E94" s="51"/>
      <c r="F94" s="51"/>
      <c r="G94" s="67"/>
    </row>
    <row r="95" spans="1:7" s="65" customFormat="1" ht="11.5" x14ac:dyDescent="0.25">
      <c r="A95" s="61"/>
      <c r="B95" s="66"/>
      <c r="C95" s="50"/>
      <c r="D95" s="51"/>
      <c r="E95" s="51"/>
      <c r="F95" s="51"/>
      <c r="G95" s="67"/>
    </row>
    <row r="96" spans="1:7" s="65" customFormat="1" ht="11.5" x14ac:dyDescent="0.25">
      <c r="A96" s="61"/>
      <c r="B96" s="66"/>
      <c r="C96" s="50"/>
      <c r="D96" s="51"/>
      <c r="E96" s="51"/>
      <c r="F96" s="51"/>
      <c r="G96" s="67"/>
    </row>
    <row r="97" spans="1:7" s="65" customFormat="1" ht="11.5" x14ac:dyDescent="0.25">
      <c r="A97" s="61"/>
      <c r="B97" s="66"/>
      <c r="C97" s="50"/>
      <c r="D97" s="51"/>
      <c r="E97" s="51"/>
      <c r="F97" s="51"/>
      <c r="G97" s="67"/>
    </row>
    <row r="98" spans="1:7" s="65" customFormat="1" ht="11.5" x14ac:dyDescent="0.25">
      <c r="A98" s="61"/>
      <c r="B98" s="66"/>
      <c r="C98" s="50"/>
      <c r="D98" s="51"/>
      <c r="E98" s="51"/>
      <c r="F98" s="51"/>
      <c r="G98" s="67"/>
    </row>
    <row r="99" spans="1:7" s="65" customFormat="1" ht="11.5" x14ac:dyDescent="0.25">
      <c r="A99" s="61"/>
      <c r="B99" s="66"/>
      <c r="C99" s="50"/>
      <c r="D99" s="51"/>
      <c r="E99" s="51"/>
      <c r="F99" s="51"/>
      <c r="G99" s="67"/>
    </row>
    <row r="100" spans="1:7" s="65" customFormat="1" ht="11.5" x14ac:dyDescent="0.25">
      <c r="A100" s="61"/>
      <c r="B100" s="66"/>
      <c r="C100" s="50"/>
      <c r="D100" s="51"/>
      <c r="E100" s="51"/>
      <c r="F100" s="51"/>
      <c r="G100" s="67"/>
    </row>
  </sheetData>
  <phoneticPr fontId="6" type="noConversion"/>
  <conditionalFormatting sqref="F1:F1048576">
    <cfRule type="expression" dxfId="127" priority="1" stopIfTrue="1">
      <formula>LEFT(F1,4)="Fail"</formula>
    </cfRule>
    <cfRule type="expression" dxfId="126" priority="2" stopIfTrue="1">
      <formula>OR(LEFT(F1,4)="Pass",LEFT(F1,6)="Logged")</formula>
    </cfRule>
    <cfRule type="expression" dxfId="125" priority="3" stopIfTrue="1">
      <formula>OR(LEFT(F1,5)="Await",LEFT(F1,3)="GEA",LEFT(F1,5)="To be")</formula>
    </cfRule>
  </conditionalFormatting>
  <dataValidations count="3">
    <dataValidation type="list" allowBlank="1" showInputMessage="1" showErrorMessage="1" sqref="F1:F1048576" xr:uid="{00000000-0002-0000-0100-000000000000}">
      <formula1>ModuleTestingStatus</formula1>
    </dataValidation>
    <dataValidation type="list" allowBlank="1" showInputMessage="1" showErrorMessage="1" sqref="E1:E1048576" xr:uid="{00000000-0002-0000-0100-000001000000}">
      <formula1>ModuleTestingActivities</formula1>
    </dataValidation>
    <dataValidation type="list" allowBlank="1" showInputMessage="1" showErrorMessage="1" sqref="D1:D1048576" xr:uid="{00000000-0002-0000-0100-000002000000}">
      <formula1>Responsible</formula1>
    </dataValidation>
  </dataValidations>
  <pageMargins left="0.32" right="0.32" top="0.61" bottom="0.61" header="0.33" footer="0.33"/>
  <pageSetup paperSize="9" scale="95" orientation="landscape" r:id="rId1"/>
  <headerFooter alignWithMargins="0">
    <oddHeader>&amp;C&amp;"Arial,Bold"&amp;16History Log</oddHeader>
    <oddFooter>&amp;CPage &amp;P /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I18"/>
  <sheetViews>
    <sheetView workbookViewId="0">
      <pane xSplit="3" ySplit="1" topLeftCell="D2" activePane="bottomRight" state="frozen"/>
      <selection pane="topRight" activeCell="D1" sqref="D1"/>
      <selection pane="bottomLeft" activeCell="A2" sqref="A2"/>
      <selection pane="bottomRight" activeCell="D6" sqref="D6"/>
    </sheetView>
  </sheetViews>
  <sheetFormatPr defaultColWidth="0" defaultRowHeight="12.5" x14ac:dyDescent="0.25"/>
  <cols>
    <col min="1" max="1" width="3.54296875" style="7" customWidth="1"/>
    <col min="2" max="2" width="5.54296875" style="7" customWidth="1"/>
    <col min="3" max="3" width="32.54296875" style="9" customWidth="1"/>
    <col min="4" max="4" width="105.54296875" style="11" customWidth="1"/>
    <col min="5" max="6" width="14.54296875" style="8" customWidth="1"/>
    <col min="7" max="8" width="14.54296875" style="8" hidden="1" customWidth="1"/>
    <col min="9" max="9" width="27.54296875" style="3" hidden="1" customWidth="1"/>
    <col min="10" max="16384" width="9.1796875" style="1" hidden="1"/>
  </cols>
  <sheetData>
    <row r="1" spans="1:6" ht="14.5" x14ac:dyDescent="0.35">
      <c r="A1" s="32"/>
      <c r="B1" s="138" t="str">
        <f>'Cover Sheet'!B7</f>
        <v>division.c</v>
      </c>
      <c r="C1" s="138"/>
      <c r="D1" s="33"/>
      <c r="E1" s="23"/>
      <c r="F1" s="28" t="s">
        <v>69</v>
      </c>
    </row>
    <row r="2" spans="1:6" x14ac:dyDescent="0.25">
      <c r="C2" s="10"/>
      <c r="D2" s="12"/>
    </row>
    <row r="3" spans="1:6" ht="14.5" x14ac:dyDescent="0.25">
      <c r="B3" s="60">
        <v>1</v>
      </c>
      <c r="C3" s="34" t="s">
        <v>72</v>
      </c>
      <c r="D3" s="68" t="str">
        <f>SUBSTITUTE('Cover Sheet'!$B$7,".c","")</f>
        <v>division</v>
      </c>
      <c r="F3" s="8" t="s">
        <v>70</v>
      </c>
    </row>
    <row r="4" spans="1:6" ht="14.5" x14ac:dyDescent="0.25">
      <c r="C4" s="35" t="s">
        <v>17</v>
      </c>
      <c r="D4" s="11" t="s">
        <v>165</v>
      </c>
    </row>
    <row r="5" spans="1:6" ht="14.5" x14ac:dyDescent="0.25">
      <c r="C5" s="34" t="s">
        <v>18</v>
      </c>
    </row>
    <row r="6" spans="1:6" ht="14.5" x14ac:dyDescent="0.25">
      <c r="C6" s="34" t="s">
        <v>19</v>
      </c>
    </row>
    <row r="7" spans="1:6" ht="14.5" x14ac:dyDescent="0.25">
      <c r="C7" s="34" t="s">
        <v>16</v>
      </c>
      <c r="D7" s="70"/>
    </row>
    <row r="8" spans="1:6" ht="14.5" x14ac:dyDescent="0.25">
      <c r="C8" s="34" t="s">
        <v>20</v>
      </c>
    </row>
    <row r="9" spans="1:6" ht="14.5" x14ac:dyDescent="0.25">
      <c r="C9" s="34" t="s">
        <v>21</v>
      </c>
    </row>
    <row r="10" spans="1:6" x14ac:dyDescent="0.25">
      <c r="C10" s="10"/>
      <c r="D10" s="12"/>
    </row>
    <row r="11" spans="1:6" ht="14.5" x14ac:dyDescent="0.25">
      <c r="B11" s="60">
        <f>B3+1</f>
        <v>2</v>
      </c>
      <c r="C11" s="34" t="s">
        <v>72</v>
      </c>
      <c r="F11" s="8" t="s">
        <v>70</v>
      </c>
    </row>
    <row r="12" spans="1:6" ht="14.5" x14ac:dyDescent="0.25">
      <c r="C12" s="35" t="s">
        <v>17</v>
      </c>
    </row>
    <row r="13" spans="1:6" ht="14.5" x14ac:dyDescent="0.25">
      <c r="C13" s="34" t="s">
        <v>18</v>
      </c>
    </row>
    <row r="14" spans="1:6" ht="14.5" x14ac:dyDescent="0.25">
      <c r="C14" s="34" t="s">
        <v>19</v>
      </c>
    </row>
    <row r="15" spans="1:6" ht="14.5" x14ac:dyDescent="0.25">
      <c r="C15" s="34" t="s">
        <v>16</v>
      </c>
    </row>
    <row r="16" spans="1:6" ht="14.5" x14ac:dyDescent="0.25">
      <c r="C16" s="34" t="s">
        <v>20</v>
      </c>
    </row>
    <row r="17" spans="3:4" ht="14.5" x14ac:dyDescent="0.25">
      <c r="C17" s="34" t="s">
        <v>21</v>
      </c>
    </row>
    <row r="18" spans="3:4" x14ac:dyDescent="0.25">
      <c r="C18" s="10"/>
      <c r="D18" s="12"/>
    </row>
  </sheetData>
  <mergeCells count="1">
    <mergeCell ref="B1:C1"/>
  </mergeCells>
  <phoneticPr fontId="6" type="noConversion"/>
  <conditionalFormatting sqref="I1:I1048576">
    <cfRule type="cellIs" dxfId="124" priority="2" stopIfTrue="1" operator="equal">
      <formula>"OG"</formula>
    </cfRule>
    <cfRule type="cellIs" dxfId="123" priority="3" stopIfTrue="1" operator="equal">
      <formula>"FAIL"</formula>
    </cfRule>
    <cfRule type="cellIs" dxfId="122" priority="4" stopIfTrue="1" operator="equal">
      <formula>"PASS"</formula>
    </cfRule>
  </conditionalFormatting>
  <conditionalFormatting sqref="D3">
    <cfRule type="cellIs" dxfId="121" priority="1" stopIfTrue="1" operator="equal">
      <formula>"none"</formula>
    </cfRule>
  </conditionalFormatting>
  <dataValidations count="4">
    <dataValidation type="list" allowBlank="1" showInputMessage="1" showErrorMessage="1" sqref="D6 D14" xr:uid="{00000000-0002-0000-0200-000000000000}">
      <formula1>ResponsibleFullname</formula1>
    </dataValidation>
    <dataValidation type="list" allowBlank="1" showInputMessage="1" showErrorMessage="1" sqref="D15 D7" xr:uid="{00000000-0002-0000-0200-000001000000}">
      <formula1>FunctionsList</formula1>
    </dataValidation>
    <dataValidation type="list" allowBlank="1" showInputMessage="1" sqref="D5 D13" xr:uid="{00000000-0002-0000-0200-000002000000}">
      <formula1>TCPurposeTemplate</formula1>
    </dataValidation>
    <dataValidation type="list" allowBlank="1" showInputMessage="1" showErrorMessage="1" sqref="F3 F11" xr:uid="{00000000-0002-0000-0200-000003000000}">
      <formula1>LDRA_automation</formula1>
    </dataValidation>
  </dataValidations>
  <pageMargins left="0.31" right="0.31" top="0.6" bottom="0.57999999999999996" header="0.32" footer="0.32"/>
  <pageSetup paperSize="9" orientation="landscape" horizontalDpi="300" verticalDpi="300" r:id="rId1"/>
  <headerFooter alignWithMargins="0">
    <oddHeader>&amp;L&amp;"Arial,Bold"&amp;14Test Plan</oddHeader>
    <oddFooter>&amp;CPage &amp;P /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B75"/>
  <sheetViews>
    <sheetView tabSelected="1" zoomScale="85" zoomScaleNormal="85" workbookViewId="0">
      <pane xSplit="1" ySplit="2" topLeftCell="C3" activePane="bottomRight" state="frozen"/>
      <selection pane="topRight" activeCell="B1" sqref="B1"/>
      <selection pane="bottomLeft" activeCell="A3" sqref="A3"/>
      <selection pane="bottomRight" activeCell="J10" sqref="J10"/>
    </sheetView>
  </sheetViews>
  <sheetFormatPr defaultColWidth="0" defaultRowHeight="12.5" x14ac:dyDescent="0.25"/>
  <cols>
    <col min="1" max="1" width="8.1796875" style="82" customWidth="1"/>
    <col min="2" max="2" width="35.54296875" style="74" customWidth="1"/>
    <col min="3" max="3" width="8.81640625" style="69" customWidth="1"/>
    <col min="4" max="4" width="43.54296875" style="70" customWidth="1"/>
    <col min="5" max="5" width="8.81640625" style="69" hidden="1" customWidth="1"/>
    <col min="6" max="6" width="0.81640625" style="79" customWidth="1"/>
    <col min="7" max="7" width="38" style="70" bestFit="1" customWidth="1"/>
    <col min="8" max="8" width="10.453125" style="70" hidden="1" customWidth="1"/>
    <col min="9" max="9" width="11.453125" style="70" hidden="1" customWidth="1"/>
    <col min="10" max="10" width="27.81640625" style="70" customWidth="1"/>
    <col min="11" max="11" width="9.81640625" style="70" hidden="1" customWidth="1"/>
    <col min="12" max="12" width="15.453125" style="70" customWidth="1"/>
    <col min="13" max="13" width="0.81640625" style="72" customWidth="1"/>
    <col min="14" max="14" width="32.81640625" style="70" customWidth="1"/>
    <col min="15" max="16" width="16.54296875" style="70" customWidth="1"/>
    <col min="17" max="17" width="23.81640625" style="70" customWidth="1"/>
    <col min="18" max="18" width="0.81640625" style="72" customWidth="1"/>
    <col min="19" max="19" width="16.54296875" style="70" customWidth="1"/>
    <col min="20" max="20" width="14" style="70" customWidth="1"/>
    <col min="21" max="21" width="17.453125" style="70" customWidth="1"/>
    <col min="22" max="23" width="16.54296875" style="70" customWidth="1"/>
    <col min="24" max="24" width="0.81640625" style="72" customWidth="1"/>
    <col min="25" max="25" width="5.453125" style="73" customWidth="1"/>
    <col min="26" max="26" width="86.453125" style="70" customWidth="1"/>
    <col min="27" max="27" width="14" style="70" customWidth="1"/>
    <col min="28" max="28" width="0" style="75" hidden="1" customWidth="1"/>
    <col min="29" max="16384" width="9.1796875" style="75" hidden="1"/>
  </cols>
  <sheetData>
    <row r="1" spans="1:27" s="22" customFormat="1" ht="27.75" customHeight="1" x14ac:dyDescent="0.35">
      <c r="A1" s="36"/>
      <c r="B1" s="57" t="str">
        <f>'Cover Sheet'!B7</f>
        <v>division.c</v>
      </c>
      <c r="C1" s="56"/>
      <c r="D1" s="58"/>
      <c r="E1" s="59"/>
      <c r="F1" s="15"/>
      <c r="G1" s="141" t="s">
        <v>28</v>
      </c>
      <c r="H1" s="142"/>
      <c r="I1" s="142"/>
      <c r="J1" s="142"/>
      <c r="K1" s="142"/>
      <c r="L1" s="142"/>
      <c r="M1" s="42"/>
      <c r="N1" s="141" t="s">
        <v>29</v>
      </c>
      <c r="O1" s="142"/>
      <c r="P1" s="142"/>
      <c r="Q1" s="143"/>
      <c r="R1" s="42"/>
      <c r="S1" s="144" t="s">
        <v>31</v>
      </c>
      <c r="T1" s="145"/>
      <c r="U1" s="145"/>
      <c r="V1" s="43"/>
      <c r="W1" s="43"/>
      <c r="X1" s="42"/>
      <c r="Y1" s="85"/>
      <c r="Z1" s="139" t="s">
        <v>71</v>
      </c>
      <c r="AA1" s="94"/>
    </row>
    <row r="2" spans="1:27" s="22" customFormat="1" ht="29" x14ac:dyDescent="0.35">
      <c r="A2" s="37"/>
      <c r="B2" s="38" t="s">
        <v>72</v>
      </c>
      <c r="C2" s="38" t="s">
        <v>73</v>
      </c>
      <c r="D2" s="39" t="s">
        <v>16</v>
      </c>
      <c r="E2" s="40" t="s">
        <v>81</v>
      </c>
      <c r="F2" s="34"/>
      <c r="G2" s="95" t="s">
        <v>14</v>
      </c>
      <c r="H2" s="95" t="s">
        <v>74</v>
      </c>
      <c r="I2" s="95" t="s">
        <v>68</v>
      </c>
      <c r="J2" s="95" t="s">
        <v>15</v>
      </c>
      <c r="K2" s="95" t="s">
        <v>185</v>
      </c>
      <c r="L2" s="95" t="s">
        <v>27</v>
      </c>
      <c r="M2" s="41"/>
      <c r="N2" s="39" t="s">
        <v>14</v>
      </c>
      <c r="O2" s="39" t="s">
        <v>74</v>
      </c>
      <c r="P2" s="39" t="s">
        <v>68</v>
      </c>
      <c r="Q2" s="39" t="s">
        <v>131</v>
      </c>
      <c r="R2" s="41"/>
      <c r="S2" s="95" t="s">
        <v>30</v>
      </c>
      <c r="T2" s="95" t="s">
        <v>79</v>
      </c>
      <c r="U2" s="95" t="s">
        <v>15</v>
      </c>
      <c r="V2" s="39" t="s">
        <v>14</v>
      </c>
      <c r="W2" s="39" t="s">
        <v>74</v>
      </c>
      <c r="X2" s="41"/>
      <c r="Y2" s="39" t="s">
        <v>27</v>
      </c>
      <c r="Z2" s="140"/>
      <c r="AA2" s="94"/>
    </row>
    <row r="3" spans="1:27" x14ac:dyDescent="0.25">
      <c r="A3" s="68"/>
      <c r="B3" s="68" t="str">
        <f>'Test Plan'!D3</f>
        <v>division</v>
      </c>
      <c r="C3" s="69">
        <v>1</v>
      </c>
      <c r="D3" s="70" t="s">
        <v>227</v>
      </c>
      <c r="E3" s="69">
        <v>1</v>
      </c>
      <c r="F3" s="71"/>
      <c r="G3" s="92" t="s">
        <v>195</v>
      </c>
      <c r="H3" s="92" t="s">
        <v>196</v>
      </c>
      <c r="I3" s="92" t="s">
        <v>83</v>
      </c>
      <c r="J3" s="92">
        <v>0</v>
      </c>
      <c r="K3" s="92" t="s">
        <v>188</v>
      </c>
      <c r="L3" s="92" t="s">
        <v>166</v>
      </c>
      <c r="N3" s="92" t="s">
        <v>195</v>
      </c>
      <c r="O3" s="92" t="s">
        <v>196</v>
      </c>
      <c r="P3" s="92" t="s">
        <v>77</v>
      </c>
      <c r="Q3" s="92">
        <v>0</v>
      </c>
      <c r="S3" s="98"/>
      <c r="T3" s="98"/>
      <c r="U3" s="98"/>
      <c r="V3" s="21"/>
      <c r="W3" s="98"/>
      <c r="Y3" s="70"/>
      <c r="AA3" s="21"/>
    </row>
    <row r="4" spans="1:27" x14ac:dyDescent="0.25">
      <c r="A4" s="68"/>
      <c r="B4" s="68"/>
      <c r="D4" s="70" t="s">
        <v>204</v>
      </c>
      <c r="F4" s="71"/>
      <c r="G4" s="92" t="s">
        <v>197</v>
      </c>
      <c r="H4" s="92" t="s">
        <v>196</v>
      </c>
      <c r="I4" s="92" t="s">
        <v>83</v>
      </c>
      <c r="J4" s="92">
        <v>0</v>
      </c>
      <c r="K4" s="92" t="s">
        <v>188</v>
      </c>
      <c r="L4" s="92" t="s">
        <v>166</v>
      </c>
      <c r="N4" s="92" t="s">
        <v>197</v>
      </c>
      <c r="O4" s="92" t="s">
        <v>196</v>
      </c>
      <c r="P4" s="92" t="s">
        <v>77</v>
      </c>
      <c r="Q4" s="92">
        <v>0</v>
      </c>
      <c r="S4" s="98"/>
      <c r="T4" s="98"/>
      <c r="U4" s="98"/>
      <c r="W4" s="98"/>
      <c r="Y4" s="70"/>
      <c r="Z4" s="91"/>
      <c r="AA4" s="21"/>
    </row>
    <row r="5" spans="1:27" x14ac:dyDescent="0.25">
      <c r="A5" s="68"/>
      <c r="B5" s="68"/>
      <c r="D5" s="70" t="s">
        <v>205</v>
      </c>
      <c r="F5" s="71"/>
      <c r="G5" s="92" t="s">
        <v>198</v>
      </c>
      <c r="H5" s="92" t="s">
        <v>199</v>
      </c>
      <c r="I5" s="92" t="s">
        <v>83</v>
      </c>
      <c r="J5" s="92" t="s">
        <v>200</v>
      </c>
      <c r="K5" s="92" t="s">
        <v>188</v>
      </c>
      <c r="L5" s="92" t="s">
        <v>166</v>
      </c>
      <c r="N5" s="92" t="s">
        <v>198</v>
      </c>
      <c r="O5" s="70" t="s">
        <v>199</v>
      </c>
      <c r="P5" s="92" t="s">
        <v>77</v>
      </c>
      <c r="Q5" s="92" t="s">
        <v>208</v>
      </c>
      <c r="S5" s="98"/>
      <c r="T5" s="98"/>
      <c r="U5" s="98"/>
      <c r="V5" s="21"/>
      <c r="W5" s="98"/>
      <c r="Y5" s="70"/>
      <c r="AA5" s="21"/>
    </row>
    <row r="6" spans="1:27" x14ac:dyDescent="0.25">
      <c r="A6" s="68"/>
      <c r="B6" s="68"/>
      <c r="D6" s="70" t="s">
        <v>206</v>
      </c>
      <c r="F6" s="71"/>
      <c r="G6" s="92" t="s">
        <v>201</v>
      </c>
      <c r="H6" s="92" t="s">
        <v>202</v>
      </c>
      <c r="I6" s="92" t="s">
        <v>75</v>
      </c>
      <c r="J6" s="92" t="b">
        <v>0</v>
      </c>
      <c r="K6" s="92" t="s">
        <v>189</v>
      </c>
      <c r="L6" s="92" t="s">
        <v>166</v>
      </c>
      <c r="N6" s="92" t="s">
        <v>201</v>
      </c>
      <c r="O6" s="92" t="s">
        <v>202</v>
      </c>
      <c r="P6" s="92" t="s">
        <v>77</v>
      </c>
      <c r="Q6" s="70" t="b">
        <v>1</v>
      </c>
      <c r="S6" s="98"/>
      <c r="T6" s="98"/>
      <c r="U6" s="98"/>
      <c r="V6" s="21"/>
      <c r="W6" s="21"/>
      <c r="Y6" s="70"/>
      <c r="Z6" s="21"/>
      <c r="AA6" s="21"/>
    </row>
    <row r="7" spans="1:27" x14ac:dyDescent="0.25">
      <c r="A7" s="68"/>
      <c r="B7" s="68"/>
      <c r="D7" s="70" t="s">
        <v>207</v>
      </c>
      <c r="F7" s="71"/>
      <c r="G7" s="92" t="s">
        <v>201</v>
      </c>
      <c r="H7" s="92" t="s">
        <v>202</v>
      </c>
      <c r="I7" s="92" t="s">
        <v>76</v>
      </c>
      <c r="J7" s="92" t="b">
        <v>0</v>
      </c>
      <c r="K7" s="92" t="s">
        <v>188</v>
      </c>
      <c r="L7" s="92" t="s">
        <v>166</v>
      </c>
      <c r="N7" s="70" t="s">
        <v>203</v>
      </c>
      <c r="O7" s="92" t="s">
        <v>196</v>
      </c>
      <c r="P7" s="92" t="s">
        <v>78</v>
      </c>
      <c r="Q7" s="70">
        <v>0</v>
      </c>
      <c r="T7" s="98"/>
      <c r="V7" s="21"/>
      <c r="W7" s="21"/>
      <c r="Y7" s="70"/>
      <c r="Z7" s="21"/>
      <c r="AA7" s="21"/>
    </row>
    <row r="8" spans="1:27" x14ac:dyDescent="0.25">
      <c r="A8" s="68"/>
      <c r="B8" s="68"/>
      <c r="F8" s="71"/>
      <c r="G8" s="92"/>
      <c r="H8" s="92"/>
      <c r="I8" s="92"/>
      <c r="J8" s="92"/>
      <c r="K8" s="92"/>
      <c r="L8" s="92"/>
      <c r="O8" s="92"/>
      <c r="P8" s="92"/>
      <c r="T8" s="98"/>
      <c r="V8" s="21"/>
      <c r="W8" s="21"/>
      <c r="Y8" s="70"/>
      <c r="Z8" s="21"/>
      <c r="AA8" s="21"/>
    </row>
    <row r="9" spans="1:27" ht="6" customHeight="1" x14ac:dyDescent="0.25">
      <c r="A9" s="76"/>
      <c r="B9" s="77"/>
      <c r="C9" s="83"/>
      <c r="D9" s="78"/>
      <c r="E9" s="83"/>
      <c r="G9" s="78"/>
      <c r="H9" s="78"/>
      <c r="I9" s="78"/>
      <c r="J9" s="78"/>
      <c r="K9" s="78"/>
      <c r="L9" s="78"/>
      <c r="N9" s="78"/>
      <c r="O9" s="78"/>
      <c r="P9" s="78"/>
      <c r="Q9" s="78"/>
      <c r="S9" s="78"/>
      <c r="T9" s="78"/>
      <c r="U9" s="78"/>
      <c r="V9" s="78"/>
      <c r="W9" s="78"/>
      <c r="Y9" s="78"/>
      <c r="Z9" s="78"/>
      <c r="AA9" s="78"/>
    </row>
    <row r="10" spans="1:27" x14ac:dyDescent="0.25">
      <c r="A10" s="68"/>
      <c r="B10" s="68" t="s">
        <v>227</v>
      </c>
      <c r="C10" s="69">
        <v>2</v>
      </c>
      <c r="D10" s="70" t="s">
        <v>227</v>
      </c>
      <c r="E10" s="69">
        <v>2</v>
      </c>
      <c r="F10" s="71"/>
      <c r="G10" s="92" t="s">
        <v>195</v>
      </c>
      <c r="H10" s="92" t="s">
        <v>196</v>
      </c>
      <c r="I10" s="92" t="s">
        <v>83</v>
      </c>
      <c r="J10" s="92">
        <v>200</v>
      </c>
      <c r="K10" s="92" t="s">
        <v>188</v>
      </c>
      <c r="L10" s="92" t="s">
        <v>166</v>
      </c>
      <c r="N10" s="92" t="s">
        <v>195</v>
      </c>
      <c r="O10" s="93" t="s">
        <v>196</v>
      </c>
      <c r="P10" s="92" t="s">
        <v>77</v>
      </c>
      <c r="Q10" s="92">
        <v>200</v>
      </c>
      <c r="S10" s="98"/>
      <c r="T10" s="98"/>
      <c r="U10" s="93"/>
      <c r="V10" s="75"/>
      <c r="W10" s="75"/>
      <c r="Y10" s="70"/>
      <c r="Z10" s="21"/>
      <c r="AA10" s="21"/>
    </row>
    <row r="11" spans="1:27" x14ac:dyDescent="0.25">
      <c r="A11" s="68"/>
      <c r="B11" s="68"/>
      <c r="D11" s="70" t="s">
        <v>204</v>
      </c>
      <c r="F11" s="71"/>
      <c r="G11" s="92" t="s">
        <v>197</v>
      </c>
      <c r="H11" s="92" t="s">
        <v>196</v>
      </c>
      <c r="I11" s="92" t="s">
        <v>83</v>
      </c>
      <c r="J11" s="92">
        <v>200</v>
      </c>
      <c r="K11" s="92" t="s">
        <v>188</v>
      </c>
      <c r="L11" s="92" t="s">
        <v>166</v>
      </c>
      <c r="N11" s="92" t="s">
        <v>197</v>
      </c>
      <c r="O11" s="93" t="s">
        <v>196</v>
      </c>
      <c r="P11" s="92" t="s">
        <v>77</v>
      </c>
      <c r="Q11" s="93">
        <v>200</v>
      </c>
      <c r="S11" s="98"/>
      <c r="T11" s="98"/>
      <c r="U11" s="93"/>
      <c r="V11" s="75"/>
      <c r="W11" s="75"/>
      <c r="Y11" s="70"/>
      <c r="Z11" s="21"/>
      <c r="AA11" s="21"/>
    </row>
    <row r="12" spans="1:27" x14ac:dyDescent="0.25">
      <c r="A12" s="68"/>
      <c r="B12" s="68"/>
      <c r="D12" s="70" t="s">
        <v>205</v>
      </c>
      <c r="F12" s="71"/>
      <c r="G12" s="92" t="s">
        <v>198</v>
      </c>
      <c r="H12" s="92" t="s">
        <v>199</v>
      </c>
      <c r="I12" s="92" t="s">
        <v>83</v>
      </c>
      <c r="J12" s="92" t="s">
        <v>200</v>
      </c>
      <c r="K12" s="92" t="s">
        <v>188</v>
      </c>
      <c r="L12" s="92" t="s">
        <v>166</v>
      </c>
      <c r="N12" s="92" t="s">
        <v>198</v>
      </c>
      <c r="O12" s="93" t="s">
        <v>199</v>
      </c>
      <c r="P12" s="92" t="s">
        <v>77</v>
      </c>
      <c r="Q12" s="92" t="s">
        <v>208</v>
      </c>
      <c r="S12" s="93"/>
      <c r="T12" s="98"/>
      <c r="U12" s="98"/>
      <c r="V12" s="21"/>
      <c r="W12" s="21"/>
      <c r="Y12" s="70"/>
      <c r="Z12" s="21"/>
      <c r="AA12" s="21"/>
    </row>
    <row r="13" spans="1:27" x14ac:dyDescent="0.25">
      <c r="A13" s="68"/>
      <c r="B13" s="68"/>
      <c r="D13" s="70" t="s">
        <v>206</v>
      </c>
      <c r="F13" s="71"/>
      <c r="G13" s="92" t="s">
        <v>201</v>
      </c>
      <c r="H13" s="92" t="s">
        <v>202</v>
      </c>
      <c r="I13" s="92" t="s">
        <v>76</v>
      </c>
      <c r="J13" s="92" t="b">
        <v>0</v>
      </c>
      <c r="K13" s="92" t="s">
        <v>188</v>
      </c>
      <c r="L13" s="92" t="s">
        <v>166</v>
      </c>
      <c r="N13" s="92" t="s">
        <v>201</v>
      </c>
      <c r="O13" s="93" t="s">
        <v>202</v>
      </c>
      <c r="P13" s="92" t="s">
        <v>77</v>
      </c>
      <c r="Q13" s="92" t="b">
        <v>1</v>
      </c>
      <c r="S13" s="92"/>
      <c r="T13" s="92"/>
      <c r="U13" s="92"/>
      <c r="Y13" s="70"/>
      <c r="Z13" s="21"/>
      <c r="AA13" s="21"/>
    </row>
    <row r="14" spans="1:27" x14ac:dyDescent="0.25">
      <c r="A14" s="68"/>
      <c r="B14" s="68"/>
      <c r="D14" s="70" t="s">
        <v>207</v>
      </c>
      <c r="F14" s="71"/>
      <c r="G14" s="92"/>
      <c r="H14" s="92"/>
      <c r="I14" s="92"/>
      <c r="J14" s="92"/>
      <c r="K14" s="92"/>
      <c r="L14" s="92"/>
      <c r="N14" s="92" t="s">
        <v>203</v>
      </c>
      <c r="O14" s="93" t="s">
        <v>196</v>
      </c>
      <c r="P14" s="92" t="s">
        <v>78</v>
      </c>
      <c r="Q14" s="92">
        <v>1</v>
      </c>
      <c r="S14" s="93"/>
      <c r="T14" s="98"/>
      <c r="U14" s="93"/>
      <c r="V14" s="75"/>
      <c r="W14" s="75"/>
      <c r="Y14" s="70"/>
      <c r="Z14" s="21"/>
      <c r="AA14" s="21"/>
    </row>
    <row r="15" spans="1:27" ht="6" customHeight="1" x14ac:dyDescent="0.25">
      <c r="A15" s="76"/>
      <c r="B15" s="77"/>
      <c r="C15" s="83"/>
      <c r="D15" s="78"/>
      <c r="E15" s="83"/>
      <c r="G15" s="78"/>
      <c r="H15" s="78"/>
      <c r="I15" s="78"/>
      <c r="J15" s="78"/>
      <c r="K15" s="78"/>
      <c r="L15" s="78"/>
      <c r="N15" s="78"/>
      <c r="O15" s="78"/>
      <c r="P15" s="78"/>
      <c r="Q15" s="78"/>
      <c r="S15" s="78"/>
      <c r="T15" s="78"/>
      <c r="U15" s="78"/>
      <c r="V15" s="78"/>
      <c r="W15" s="78"/>
      <c r="Y15" s="78"/>
      <c r="Z15" s="78"/>
      <c r="AA15" s="78"/>
    </row>
    <row r="16" spans="1:27" x14ac:dyDescent="0.25">
      <c r="A16" s="68"/>
      <c r="B16" s="68" t="s">
        <v>227</v>
      </c>
      <c r="C16" s="69">
        <v>3</v>
      </c>
      <c r="D16" s="70" t="s">
        <v>227</v>
      </c>
      <c r="E16" s="69">
        <v>3</v>
      </c>
      <c r="F16" s="71"/>
      <c r="G16" s="70" t="s">
        <v>195</v>
      </c>
      <c r="H16" s="70" t="s">
        <v>196</v>
      </c>
      <c r="I16" s="70" t="s">
        <v>83</v>
      </c>
      <c r="J16" s="70">
        <v>250</v>
      </c>
      <c r="K16" s="70" t="s">
        <v>188</v>
      </c>
      <c r="L16" s="70" t="s">
        <v>166</v>
      </c>
      <c r="N16" s="70" t="s">
        <v>195</v>
      </c>
      <c r="O16" s="70" t="s">
        <v>196</v>
      </c>
      <c r="P16" s="70" t="s">
        <v>77</v>
      </c>
      <c r="Q16" s="70">
        <v>250</v>
      </c>
      <c r="S16" s="21"/>
      <c r="T16" s="21"/>
      <c r="U16" s="21"/>
      <c r="V16" s="21"/>
      <c r="W16" s="21"/>
      <c r="Y16" s="70"/>
      <c r="Z16" s="21"/>
      <c r="AA16" s="21"/>
    </row>
    <row r="17" spans="1:27" x14ac:dyDescent="0.25">
      <c r="A17" s="68"/>
      <c r="B17" s="68"/>
      <c r="D17" s="70" t="s">
        <v>204</v>
      </c>
      <c r="F17" s="71"/>
      <c r="G17" s="70" t="s">
        <v>197</v>
      </c>
      <c r="H17" s="70" t="s">
        <v>196</v>
      </c>
      <c r="I17" s="70" t="s">
        <v>83</v>
      </c>
      <c r="J17" s="70">
        <v>250</v>
      </c>
      <c r="K17" s="70" t="s">
        <v>188</v>
      </c>
      <c r="L17" s="70" t="s">
        <v>166</v>
      </c>
      <c r="N17" s="70" t="s">
        <v>197</v>
      </c>
      <c r="O17" s="70" t="s">
        <v>196</v>
      </c>
      <c r="P17" s="70" t="s">
        <v>77</v>
      </c>
      <c r="Q17" s="70">
        <v>250</v>
      </c>
      <c r="S17" s="21"/>
      <c r="T17" s="21"/>
      <c r="U17" s="21"/>
      <c r="V17" s="21"/>
      <c r="W17" s="21"/>
      <c r="Y17" s="70"/>
      <c r="Z17" s="21"/>
      <c r="AA17" s="21"/>
    </row>
    <row r="18" spans="1:27" x14ac:dyDescent="0.25">
      <c r="A18" s="68"/>
      <c r="B18" s="68"/>
      <c r="D18" s="70" t="s">
        <v>205</v>
      </c>
      <c r="F18" s="71"/>
      <c r="G18" s="70" t="s">
        <v>198</v>
      </c>
      <c r="H18" s="70" t="s">
        <v>199</v>
      </c>
      <c r="I18" s="70" t="s">
        <v>83</v>
      </c>
      <c r="J18" s="70" t="s">
        <v>200</v>
      </c>
      <c r="K18" s="70" t="s">
        <v>188</v>
      </c>
      <c r="L18" s="70" t="s">
        <v>166</v>
      </c>
      <c r="N18" s="70" t="s">
        <v>198</v>
      </c>
      <c r="O18" s="70" t="s">
        <v>199</v>
      </c>
      <c r="P18" s="70" t="s">
        <v>77</v>
      </c>
      <c r="Q18" s="70" t="s">
        <v>208</v>
      </c>
      <c r="S18" s="21"/>
      <c r="T18" s="21"/>
      <c r="U18" s="21"/>
      <c r="V18" s="21"/>
      <c r="W18" s="21"/>
      <c r="Y18" s="70"/>
      <c r="Z18" s="21"/>
      <c r="AA18" s="21"/>
    </row>
    <row r="19" spans="1:27" x14ac:dyDescent="0.25">
      <c r="A19" s="68"/>
      <c r="B19" s="68"/>
      <c r="D19" s="70" t="s">
        <v>206</v>
      </c>
      <c r="F19" s="71"/>
      <c r="G19" s="70" t="s">
        <v>201</v>
      </c>
      <c r="H19" s="70" t="s">
        <v>202</v>
      </c>
      <c r="I19" s="70" t="s">
        <v>76</v>
      </c>
      <c r="J19" s="70" t="b">
        <v>1</v>
      </c>
      <c r="K19" s="70" t="s">
        <v>188</v>
      </c>
      <c r="L19" s="70" t="s">
        <v>166</v>
      </c>
      <c r="N19" s="70" t="s">
        <v>201</v>
      </c>
      <c r="O19" s="70" t="s">
        <v>202</v>
      </c>
      <c r="P19" s="70" t="s">
        <v>77</v>
      </c>
      <c r="Q19" s="70" t="b">
        <v>0</v>
      </c>
      <c r="S19" s="21"/>
      <c r="T19" s="21"/>
      <c r="U19" s="21"/>
      <c r="V19" s="21"/>
      <c r="W19" s="21"/>
      <c r="Y19" s="70"/>
      <c r="Z19" s="21"/>
      <c r="AA19" s="21"/>
    </row>
    <row r="20" spans="1:27" x14ac:dyDescent="0.25">
      <c r="A20" s="68"/>
      <c r="B20" s="68"/>
      <c r="D20" s="70" t="s">
        <v>207</v>
      </c>
      <c r="F20" s="71"/>
      <c r="N20" s="70" t="s">
        <v>203</v>
      </c>
      <c r="O20" s="70" t="s">
        <v>196</v>
      </c>
      <c r="P20" s="70" t="s">
        <v>78</v>
      </c>
      <c r="Q20" s="70">
        <v>0</v>
      </c>
      <c r="S20" s="21"/>
      <c r="T20" s="21"/>
      <c r="U20" s="21"/>
      <c r="V20" s="21"/>
      <c r="W20" s="21"/>
      <c r="Y20" s="70"/>
      <c r="Z20" s="21"/>
      <c r="AA20" s="21"/>
    </row>
    <row r="21" spans="1:27" x14ac:dyDescent="0.25">
      <c r="A21" s="68"/>
      <c r="B21" s="68"/>
      <c r="F21" s="71"/>
      <c r="S21" s="21"/>
      <c r="T21" s="21"/>
      <c r="U21" s="21"/>
      <c r="V21" s="21"/>
      <c r="W21" s="21"/>
      <c r="Y21" s="70"/>
      <c r="Z21" s="21"/>
      <c r="AA21" s="21"/>
    </row>
    <row r="22" spans="1:27" ht="6" customHeight="1" x14ac:dyDescent="0.25">
      <c r="A22" s="76"/>
      <c r="B22" s="77"/>
      <c r="C22" s="83"/>
      <c r="D22" s="78"/>
      <c r="E22" s="83"/>
      <c r="G22" s="78"/>
      <c r="H22" s="78"/>
      <c r="I22" s="78"/>
      <c r="J22" s="78"/>
      <c r="K22" s="78"/>
      <c r="L22" s="78"/>
      <c r="N22" s="78"/>
      <c r="O22" s="78"/>
      <c r="P22" s="78"/>
      <c r="Q22" s="78"/>
      <c r="S22" s="78"/>
      <c r="T22" s="78"/>
      <c r="U22" s="78"/>
      <c r="V22" s="78"/>
      <c r="W22" s="78"/>
      <c r="Y22" s="78"/>
      <c r="Z22" s="78"/>
      <c r="AA22" s="78"/>
    </row>
    <row r="23" spans="1:27" x14ac:dyDescent="0.25">
      <c r="A23" s="68"/>
      <c r="B23" s="68" t="s">
        <v>227</v>
      </c>
      <c r="C23" s="69">
        <v>4</v>
      </c>
      <c r="D23" s="70" t="s">
        <v>227</v>
      </c>
      <c r="E23" s="69">
        <v>4</v>
      </c>
      <c r="F23" s="71"/>
      <c r="G23" s="70" t="s">
        <v>195</v>
      </c>
      <c r="H23" s="70" t="s">
        <v>196</v>
      </c>
      <c r="I23" s="70" t="s">
        <v>83</v>
      </c>
      <c r="J23" s="70">
        <v>100</v>
      </c>
      <c r="K23" s="70" t="s">
        <v>188</v>
      </c>
      <c r="L23" s="70" t="s">
        <v>166</v>
      </c>
      <c r="N23" s="70" t="s">
        <v>195</v>
      </c>
      <c r="O23" s="70" t="s">
        <v>196</v>
      </c>
      <c r="P23" s="70" t="s">
        <v>77</v>
      </c>
      <c r="Q23" s="70">
        <v>100</v>
      </c>
      <c r="S23" s="21"/>
      <c r="T23" s="21"/>
      <c r="U23" s="21"/>
      <c r="V23" s="21"/>
      <c r="W23" s="21"/>
      <c r="Y23" s="70"/>
      <c r="Z23" s="21"/>
      <c r="AA23" s="21"/>
    </row>
    <row r="24" spans="1:27" x14ac:dyDescent="0.25">
      <c r="D24" s="70" t="s">
        <v>204</v>
      </c>
      <c r="G24" s="70" t="s">
        <v>197</v>
      </c>
      <c r="H24" s="70" t="s">
        <v>196</v>
      </c>
      <c r="I24" s="70" t="s">
        <v>83</v>
      </c>
      <c r="J24" s="70">
        <v>250</v>
      </c>
      <c r="K24" s="70" t="s">
        <v>188</v>
      </c>
      <c r="L24" s="70" t="s">
        <v>166</v>
      </c>
      <c r="N24" s="70" t="s">
        <v>197</v>
      </c>
      <c r="O24" s="70" t="s">
        <v>196</v>
      </c>
      <c r="P24" s="70" t="s">
        <v>77</v>
      </c>
      <c r="Q24" s="70">
        <v>250</v>
      </c>
    </row>
    <row r="25" spans="1:27" x14ac:dyDescent="0.25">
      <c r="D25" s="70" t="s">
        <v>205</v>
      </c>
      <c r="G25" s="70" t="s">
        <v>198</v>
      </c>
      <c r="H25" s="70" t="s">
        <v>199</v>
      </c>
      <c r="I25" s="70" t="s">
        <v>83</v>
      </c>
      <c r="J25" s="70" t="s">
        <v>200</v>
      </c>
      <c r="K25" s="70" t="s">
        <v>188</v>
      </c>
      <c r="L25" s="70" t="s">
        <v>166</v>
      </c>
      <c r="N25" s="70" t="s">
        <v>198</v>
      </c>
      <c r="O25" s="70" t="s">
        <v>199</v>
      </c>
      <c r="P25" s="70" t="s">
        <v>77</v>
      </c>
      <c r="Q25" s="70" t="s">
        <v>208</v>
      </c>
    </row>
    <row r="26" spans="1:27" x14ac:dyDescent="0.25">
      <c r="D26" s="70" t="s">
        <v>206</v>
      </c>
      <c r="G26" s="70" t="s">
        <v>201</v>
      </c>
      <c r="H26" s="70" t="s">
        <v>202</v>
      </c>
      <c r="I26" s="70" t="s">
        <v>76</v>
      </c>
      <c r="J26" s="70" t="b">
        <v>1</v>
      </c>
      <c r="K26" s="70" t="s">
        <v>188</v>
      </c>
      <c r="L26" s="70" t="s">
        <v>166</v>
      </c>
      <c r="N26" s="70" t="s">
        <v>201</v>
      </c>
      <c r="O26" s="70" t="s">
        <v>202</v>
      </c>
      <c r="P26" s="70" t="s">
        <v>77</v>
      </c>
      <c r="Q26" s="70" t="b">
        <v>0</v>
      </c>
    </row>
    <row r="27" spans="1:27" x14ac:dyDescent="0.25">
      <c r="D27" s="70" t="s">
        <v>207</v>
      </c>
      <c r="N27" s="70" t="s">
        <v>203</v>
      </c>
      <c r="O27" s="70" t="s">
        <v>196</v>
      </c>
      <c r="P27" s="70" t="s">
        <v>78</v>
      </c>
      <c r="Q27" s="70">
        <v>0</v>
      </c>
    </row>
    <row r="29" spans="1:27" ht="6" customHeight="1" x14ac:dyDescent="0.25">
      <c r="A29" s="76"/>
      <c r="B29" s="77"/>
      <c r="C29" s="83"/>
      <c r="D29" s="78"/>
      <c r="E29" s="83"/>
      <c r="G29" s="78"/>
      <c r="H29" s="78"/>
      <c r="I29" s="78"/>
      <c r="J29" s="78"/>
      <c r="K29" s="78"/>
      <c r="L29" s="78"/>
      <c r="N29" s="78"/>
      <c r="O29" s="78"/>
      <c r="P29" s="78"/>
      <c r="Q29" s="78"/>
      <c r="S29" s="78"/>
      <c r="T29" s="78"/>
      <c r="U29" s="78"/>
      <c r="V29" s="78"/>
      <c r="W29" s="78"/>
      <c r="Y29" s="78"/>
      <c r="Z29" s="78"/>
      <c r="AA29" s="78"/>
    </row>
    <row r="30" spans="1:27" x14ac:dyDescent="0.25">
      <c r="B30" s="74" t="s">
        <v>227</v>
      </c>
      <c r="C30" s="69">
        <v>5</v>
      </c>
      <c r="D30" s="70" t="s">
        <v>227</v>
      </c>
      <c r="E30" s="69">
        <v>5</v>
      </c>
      <c r="G30" s="70" t="s">
        <v>195</v>
      </c>
      <c r="H30" s="70" t="s">
        <v>196</v>
      </c>
      <c r="I30" s="70" t="s">
        <v>83</v>
      </c>
      <c r="J30" s="70">
        <v>100</v>
      </c>
      <c r="K30" s="70" t="s">
        <v>188</v>
      </c>
      <c r="L30" s="70" t="s">
        <v>166</v>
      </c>
      <c r="N30" s="70" t="s">
        <v>195</v>
      </c>
      <c r="O30" s="70" t="s">
        <v>196</v>
      </c>
      <c r="P30" s="70" t="s">
        <v>77</v>
      </c>
      <c r="Q30" s="70">
        <v>100</v>
      </c>
    </row>
    <row r="31" spans="1:27" x14ac:dyDescent="0.25">
      <c r="D31" s="70" t="s">
        <v>204</v>
      </c>
      <c r="G31" s="70" t="s">
        <v>197</v>
      </c>
      <c r="H31" s="70" t="s">
        <v>196</v>
      </c>
      <c r="I31" s="70" t="s">
        <v>83</v>
      </c>
      <c r="J31" s="70">
        <v>0</v>
      </c>
      <c r="K31" s="70" t="s">
        <v>188</v>
      </c>
      <c r="L31" s="70" t="s">
        <v>166</v>
      </c>
      <c r="N31" s="70" t="s">
        <v>197</v>
      </c>
      <c r="O31" s="70" t="s">
        <v>196</v>
      </c>
      <c r="P31" s="70" t="s">
        <v>77</v>
      </c>
      <c r="Q31" s="70">
        <v>0</v>
      </c>
    </row>
    <row r="32" spans="1:27" x14ac:dyDescent="0.25">
      <c r="D32" s="70" t="s">
        <v>205</v>
      </c>
      <c r="G32" s="70" t="s">
        <v>198</v>
      </c>
      <c r="H32" s="70" t="s">
        <v>199</v>
      </c>
      <c r="I32" s="70" t="s">
        <v>83</v>
      </c>
      <c r="J32" s="70" t="s">
        <v>200</v>
      </c>
      <c r="K32" s="70" t="s">
        <v>188</v>
      </c>
      <c r="L32" s="70" t="s">
        <v>166</v>
      </c>
      <c r="N32" s="70" t="s">
        <v>198</v>
      </c>
      <c r="O32" s="70" t="s">
        <v>199</v>
      </c>
      <c r="P32" s="70" t="s">
        <v>77</v>
      </c>
      <c r="Q32" s="70" t="s">
        <v>208</v>
      </c>
    </row>
    <row r="33" spans="1:27" x14ac:dyDescent="0.25">
      <c r="D33" s="70" t="s">
        <v>206</v>
      </c>
      <c r="G33" s="70" t="s">
        <v>201</v>
      </c>
      <c r="H33" s="70" t="s">
        <v>202</v>
      </c>
      <c r="I33" s="70" t="s">
        <v>76</v>
      </c>
      <c r="J33" s="70" t="b">
        <v>1</v>
      </c>
      <c r="K33" s="70" t="s">
        <v>188</v>
      </c>
      <c r="L33" s="70" t="s">
        <v>166</v>
      </c>
      <c r="N33" s="70" t="s">
        <v>201</v>
      </c>
      <c r="O33" s="70" t="s">
        <v>202</v>
      </c>
      <c r="P33" s="70" t="s">
        <v>77</v>
      </c>
      <c r="Q33" s="70" t="b">
        <v>0</v>
      </c>
    </row>
    <row r="34" spans="1:27" x14ac:dyDescent="0.25">
      <c r="D34" s="70" t="s">
        <v>207</v>
      </c>
      <c r="N34" s="70" t="s">
        <v>203</v>
      </c>
      <c r="O34" s="70" t="s">
        <v>196</v>
      </c>
      <c r="P34" s="70" t="s">
        <v>78</v>
      </c>
      <c r="Q34" s="70">
        <v>0</v>
      </c>
    </row>
    <row r="36" spans="1:27" ht="6" customHeight="1" x14ac:dyDescent="0.25">
      <c r="A36" s="76"/>
      <c r="B36" s="77"/>
      <c r="C36" s="83"/>
      <c r="D36" s="78"/>
      <c r="E36" s="83"/>
      <c r="G36" s="78"/>
      <c r="H36" s="78"/>
      <c r="I36" s="78"/>
      <c r="J36" s="78"/>
      <c r="K36" s="78"/>
      <c r="L36" s="78"/>
      <c r="N36" s="78"/>
      <c r="O36" s="78"/>
      <c r="P36" s="78"/>
      <c r="Q36" s="78"/>
      <c r="S36" s="78"/>
      <c r="T36" s="78"/>
      <c r="U36" s="78"/>
      <c r="V36" s="78"/>
      <c r="W36" s="78"/>
      <c r="Y36" s="78"/>
      <c r="Z36" s="78"/>
      <c r="AA36" s="78"/>
    </row>
    <row r="45" spans="1:27" x14ac:dyDescent="0.25">
      <c r="A45" s="80"/>
      <c r="B45" s="81"/>
      <c r="C45" s="84"/>
      <c r="D45" s="72"/>
      <c r="E45" s="84"/>
      <c r="G45" s="72"/>
      <c r="H45" s="72"/>
      <c r="I45" s="72"/>
      <c r="J45" s="72"/>
      <c r="K45" s="72"/>
      <c r="L45" s="72"/>
      <c r="N45" s="72"/>
      <c r="O45" s="72"/>
      <c r="P45" s="72"/>
      <c r="Q45" s="72"/>
      <c r="S45" s="72"/>
      <c r="T45" s="72"/>
      <c r="U45" s="72"/>
      <c r="V45" s="72"/>
      <c r="W45" s="72"/>
      <c r="Y45" s="72"/>
      <c r="Z45" s="72"/>
      <c r="AA45" s="72"/>
    </row>
    <row r="46" spans="1:27" x14ac:dyDescent="0.25">
      <c r="B46" s="68"/>
      <c r="U46" s="21"/>
      <c r="V46" s="21"/>
      <c r="W46" s="21"/>
    </row>
    <row r="47" spans="1:27" x14ac:dyDescent="0.25">
      <c r="B47" s="68"/>
      <c r="U47" s="21"/>
      <c r="V47" s="21"/>
      <c r="W47" s="21"/>
    </row>
    <row r="48" spans="1:27" x14ac:dyDescent="0.25">
      <c r="B48" s="68"/>
      <c r="U48" s="21"/>
      <c r="V48" s="21"/>
      <c r="W48" s="21"/>
    </row>
    <row r="49" spans="2:23" x14ac:dyDescent="0.25">
      <c r="B49" s="68"/>
      <c r="U49" s="21"/>
      <c r="V49" s="21"/>
      <c r="W49" s="21"/>
    </row>
    <row r="50" spans="2:23" x14ac:dyDescent="0.25">
      <c r="B50" s="68"/>
      <c r="U50" s="21"/>
      <c r="V50" s="21"/>
      <c r="W50" s="21"/>
    </row>
    <row r="51" spans="2:23" x14ac:dyDescent="0.25">
      <c r="B51" s="68"/>
      <c r="U51" s="21"/>
      <c r="V51" s="21"/>
      <c r="W51" s="21"/>
    </row>
    <row r="52" spans="2:23" x14ac:dyDescent="0.25">
      <c r="B52" s="68"/>
      <c r="U52" s="21"/>
      <c r="V52" s="21"/>
      <c r="W52" s="21"/>
    </row>
    <row r="53" spans="2:23" x14ac:dyDescent="0.25">
      <c r="B53" s="68"/>
      <c r="U53" s="21"/>
      <c r="V53" s="21"/>
      <c r="W53" s="21"/>
    </row>
    <row r="54" spans="2:23" x14ac:dyDescent="0.25">
      <c r="B54" s="68"/>
      <c r="U54" s="21"/>
      <c r="V54" s="21"/>
      <c r="W54" s="21"/>
    </row>
    <row r="55" spans="2:23" x14ac:dyDescent="0.25">
      <c r="B55" s="68"/>
      <c r="U55" s="21"/>
      <c r="V55" s="21"/>
      <c r="W55" s="21"/>
    </row>
    <row r="56" spans="2:23" x14ac:dyDescent="0.25">
      <c r="B56" s="68"/>
      <c r="U56" s="21"/>
      <c r="V56" s="21"/>
      <c r="W56" s="21"/>
    </row>
    <row r="57" spans="2:23" x14ac:dyDescent="0.25">
      <c r="B57" s="68"/>
      <c r="U57" s="21"/>
      <c r="V57" s="21"/>
      <c r="W57" s="21"/>
    </row>
    <row r="58" spans="2:23" x14ac:dyDescent="0.25">
      <c r="U58" s="21"/>
      <c r="V58" s="21"/>
      <c r="W58" s="21"/>
    </row>
    <row r="59" spans="2:23" x14ac:dyDescent="0.25">
      <c r="U59" s="21"/>
      <c r="V59" s="21"/>
      <c r="W59" s="21"/>
    </row>
    <row r="60" spans="2:23" x14ac:dyDescent="0.25">
      <c r="U60" s="21"/>
      <c r="V60" s="21"/>
      <c r="W60" s="21"/>
    </row>
    <row r="61" spans="2:23" x14ac:dyDescent="0.25">
      <c r="U61" s="21"/>
      <c r="V61" s="21"/>
      <c r="W61" s="21"/>
    </row>
    <row r="62" spans="2:23" x14ac:dyDescent="0.25">
      <c r="U62" s="21"/>
      <c r="V62" s="21"/>
      <c r="W62" s="21"/>
    </row>
    <row r="63" spans="2:23" x14ac:dyDescent="0.25">
      <c r="U63" s="21"/>
      <c r="V63" s="21"/>
      <c r="W63" s="21"/>
    </row>
    <row r="64" spans="2:23" x14ac:dyDescent="0.25">
      <c r="U64" s="21"/>
      <c r="V64" s="21"/>
      <c r="W64" s="21"/>
    </row>
    <row r="65" spans="21:23" x14ac:dyDescent="0.25">
      <c r="U65" s="21"/>
      <c r="V65" s="21"/>
      <c r="W65" s="21"/>
    </row>
    <row r="66" spans="21:23" x14ac:dyDescent="0.25">
      <c r="U66" s="21"/>
      <c r="V66" s="21"/>
      <c r="W66" s="21"/>
    </row>
    <row r="67" spans="21:23" x14ac:dyDescent="0.25">
      <c r="U67" s="21"/>
      <c r="V67" s="21"/>
      <c r="W67" s="21"/>
    </row>
    <row r="68" spans="21:23" x14ac:dyDescent="0.25">
      <c r="U68" s="21"/>
      <c r="V68" s="21"/>
      <c r="W68" s="21"/>
    </row>
    <row r="69" spans="21:23" x14ac:dyDescent="0.25">
      <c r="U69" s="21"/>
      <c r="V69" s="21"/>
      <c r="W69" s="21"/>
    </row>
    <row r="70" spans="21:23" x14ac:dyDescent="0.25">
      <c r="U70" s="21"/>
      <c r="V70" s="21"/>
      <c r="W70" s="21"/>
    </row>
    <row r="71" spans="21:23" x14ac:dyDescent="0.25">
      <c r="U71" s="21"/>
      <c r="V71" s="21"/>
      <c r="W71" s="21"/>
    </row>
    <row r="72" spans="21:23" x14ac:dyDescent="0.25">
      <c r="U72" s="21"/>
      <c r="V72" s="21"/>
      <c r="W72" s="21"/>
    </row>
    <row r="73" spans="21:23" x14ac:dyDescent="0.25">
      <c r="U73" s="21"/>
      <c r="V73" s="21"/>
      <c r="W73" s="21"/>
    </row>
    <row r="74" spans="21:23" x14ac:dyDescent="0.25">
      <c r="U74" s="21"/>
      <c r="V74" s="21"/>
      <c r="W74" s="21"/>
    </row>
    <row r="75" spans="21:23" x14ac:dyDescent="0.25">
      <c r="U75" s="21"/>
      <c r="V75" s="21"/>
      <c r="W75" s="21"/>
    </row>
  </sheetData>
  <mergeCells count="4">
    <mergeCell ref="Z1:Z2"/>
    <mergeCell ref="G1:L1"/>
    <mergeCell ref="N1:Q1"/>
    <mergeCell ref="S1:U1"/>
  </mergeCells>
  <phoneticPr fontId="6" type="noConversion"/>
  <conditionalFormatting sqref="Z1:AA1 S1 S45:W65561 Z45:AA65561 Z4 Z15:AA21 S15:W21 S4:S6 Z6:Z8 AA3:AA8 Z9:AA9 S23:W23 Z23:AA23">
    <cfRule type="cellIs" dxfId="120" priority="1720" stopIfTrue="1" operator="equal">
      <formula>"OG"</formula>
    </cfRule>
    <cfRule type="cellIs" dxfId="119" priority="1721" stopIfTrue="1" operator="equal">
      <formula>"FAIL"</formula>
    </cfRule>
    <cfRule type="cellIs" dxfId="118" priority="1722" stopIfTrue="1" operator="equal">
      <formula>"PASS"</formula>
    </cfRule>
  </conditionalFormatting>
  <conditionalFormatting sqref="U6 U45:U65561 U9 U15:U21 U23">
    <cfRule type="cellIs" dxfId="117" priority="1719" stopIfTrue="1" operator="equal">
      <formula>"separate values with commas"</formula>
    </cfRule>
  </conditionalFormatting>
  <conditionalFormatting sqref="C16 A4:C8">
    <cfRule type="cellIs" dxfId="116" priority="1718" stopIfTrue="1" operator="equal">
      <formula>"none"</formula>
    </cfRule>
  </conditionalFormatting>
  <conditionalFormatting sqref="C16">
    <cfRule type="cellIs" dxfId="115" priority="1717" stopIfTrue="1" operator="equal">
      <formula>"none"</formula>
    </cfRule>
  </conditionalFormatting>
  <conditionalFormatting sqref="B17:B19">
    <cfRule type="cellIs" dxfId="114" priority="1714" stopIfTrue="1" operator="equal">
      <formula>"none"</formula>
    </cfRule>
  </conditionalFormatting>
  <conditionalFormatting sqref="B20:B21 B23">
    <cfRule type="cellIs" dxfId="113" priority="1713" stopIfTrue="1" operator="equal">
      <formula>"none"</formula>
    </cfRule>
  </conditionalFormatting>
  <conditionalFormatting sqref="B20:B21 B23">
    <cfRule type="cellIs" dxfId="112" priority="1712" stopIfTrue="1" operator="equal">
      <formula>"none"</formula>
    </cfRule>
  </conditionalFormatting>
  <conditionalFormatting sqref="B20:B21 B23">
    <cfRule type="cellIs" dxfId="111" priority="1711" stopIfTrue="1" operator="equal">
      <formula>"none"</formula>
    </cfRule>
  </conditionalFormatting>
  <conditionalFormatting sqref="B20:B21 B23">
    <cfRule type="cellIs" dxfId="110" priority="1710" stopIfTrue="1" operator="equal">
      <formula>"none"</formula>
    </cfRule>
  </conditionalFormatting>
  <conditionalFormatting sqref="B46:B57">
    <cfRule type="cellIs" dxfId="109" priority="1709" stopIfTrue="1" operator="equal">
      <formula>"none"</formula>
    </cfRule>
  </conditionalFormatting>
  <conditionalFormatting sqref="B46:B57">
    <cfRule type="cellIs" dxfId="108" priority="1708" stopIfTrue="1" operator="equal">
      <formula>"none"</formula>
    </cfRule>
  </conditionalFormatting>
  <conditionalFormatting sqref="B46:B57">
    <cfRule type="cellIs" dxfId="107" priority="1707" stopIfTrue="1" operator="equal">
      <formula>"none"</formula>
    </cfRule>
  </conditionalFormatting>
  <conditionalFormatting sqref="B46:B57">
    <cfRule type="cellIs" dxfId="106" priority="1706" stopIfTrue="1" operator="equal">
      <formula>"none"</formula>
    </cfRule>
  </conditionalFormatting>
  <conditionalFormatting sqref="B17:C19 C16">
    <cfRule type="cellIs" dxfId="105" priority="1701" stopIfTrue="1" operator="equal">
      <formula>"none"</formula>
    </cfRule>
  </conditionalFormatting>
  <conditionalFormatting sqref="A16:A19">
    <cfRule type="cellIs" dxfId="104" priority="1700" stopIfTrue="1" operator="equal">
      <formula>"none"</formula>
    </cfRule>
  </conditionalFormatting>
  <conditionalFormatting sqref="B20:C21 B23:C23">
    <cfRule type="cellIs" dxfId="103" priority="1699" stopIfTrue="1" operator="equal">
      <formula>"none"</formula>
    </cfRule>
  </conditionalFormatting>
  <conditionalFormatting sqref="A20:A21 A23">
    <cfRule type="cellIs" dxfId="102" priority="1698" stopIfTrue="1" operator="equal">
      <formula>"none"</formula>
    </cfRule>
  </conditionalFormatting>
  <conditionalFormatting sqref="C3">
    <cfRule type="cellIs" dxfId="101" priority="1696" stopIfTrue="1" operator="equal">
      <formula>"none"</formula>
    </cfRule>
  </conditionalFormatting>
  <conditionalFormatting sqref="S9:W9 S3:T3 U6">
    <cfRule type="cellIs" dxfId="100" priority="1693" stopIfTrue="1" operator="equal">
      <formula>"OG"</formula>
    </cfRule>
    <cfRule type="cellIs" dxfId="99" priority="1694" stopIfTrue="1" operator="equal">
      <formula>"FAIL"</formula>
    </cfRule>
    <cfRule type="cellIs" dxfId="98" priority="1695" stopIfTrue="1" operator="equal">
      <formula>"PASS"</formula>
    </cfRule>
  </conditionalFormatting>
  <conditionalFormatting sqref="A3">
    <cfRule type="cellIs" dxfId="97" priority="1690" stopIfTrue="1" operator="equal">
      <formula>"none"</formula>
    </cfRule>
  </conditionalFormatting>
  <conditionalFormatting sqref="V3">
    <cfRule type="cellIs" dxfId="96" priority="1685" stopIfTrue="1" operator="equal">
      <formula>"OG"</formula>
    </cfRule>
    <cfRule type="cellIs" dxfId="95" priority="1686" stopIfTrue="1" operator="equal">
      <formula>"FAIL"</formula>
    </cfRule>
    <cfRule type="cellIs" dxfId="94" priority="1687" stopIfTrue="1" operator="equal">
      <formula>"PASS"</formula>
    </cfRule>
  </conditionalFormatting>
  <conditionalFormatting sqref="V5">
    <cfRule type="cellIs" dxfId="93" priority="1682" stopIfTrue="1" operator="equal">
      <formula>"OG"</formula>
    </cfRule>
    <cfRule type="cellIs" dxfId="92" priority="1683" stopIfTrue="1" operator="equal">
      <formula>"FAIL"</formula>
    </cfRule>
    <cfRule type="cellIs" dxfId="91" priority="1684" stopIfTrue="1" operator="equal">
      <formula>"PASS"</formula>
    </cfRule>
  </conditionalFormatting>
  <conditionalFormatting sqref="U3">
    <cfRule type="cellIs" dxfId="90" priority="1679" stopIfTrue="1" operator="equal">
      <formula>"OG"</formula>
    </cfRule>
    <cfRule type="cellIs" dxfId="89" priority="1680" stopIfTrue="1" operator="equal">
      <formula>"FAIL"</formula>
    </cfRule>
    <cfRule type="cellIs" dxfId="88" priority="1681" stopIfTrue="1" operator="equal">
      <formula>"PASS"</formula>
    </cfRule>
  </conditionalFormatting>
  <conditionalFormatting sqref="U3">
    <cfRule type="cellIs" dxfId="87" priority="1678" stopIfTrue="1" operator="equal">
      <formula>"separate values with commas"</formula>
    </cfRule>
  </conditionalFormatting>
  <conditionalFormatting sqref="V6">
    <cfRule type="cellIs" dxfId="86" priority="1672" stopIfTrue="1" operator="equal">
      <formula>"OG"</formula>
    </cfRule>
    <cfRule type="cellIs" dxfId="85" priority="1673" stopIfTrue="1" operator="equal">
      <formula>"FAIL"</formula>
    </cfRule>
    <cfRule type="cellIs" dxfId="84" priority="1674" stopIfTrue="1" operator="equal">
      <formula>"PASS"</formula>
    </cfRule>
  </conditionalFormatting>
  <conditionalFormatting sqref="W6">
    <cfRule type="cellIs" dxfId="83" priority="1669" stopIfTrue="1" operator="equal">
      <formula>"OG"</formula>
    </cfRule>
    <cfRule type="cellIs" dxfId="82" priority="1670" stopIfTrue="1" operator="equal">
      <formula>"FAIL"</formula>
    </cfRule>
    <cfRule type="cellIs" dxfId="81" priority="1671" stopIfTrue="1" operator="equal">
      <formula>"PASS"</formula>
    </cfRule>
  </conditionalFormatting>
  <conditionalFormatting sqref="B16">
    <cfRule type="cellIs" dxfId="80" priority="1620" stopIfTrue="1" operator="equal">
      <formula>"none"</formula>
    </cfRule>
  </conditionalFormatting>
  <conditionalFormatting sqref="B3">
    <cfRule type="cellIs" dxfId="79" priority="373" stopIfTrue="1" operator="equal">
      <formula>"none"</formula>
    </cfRule>
  </conditionalFormatting>
  <conditionalFormatting sqref="Z10:Z14">
    <cfRule type="cellIs" dxfId="78" priority="238" stopIfTrue="1" operator="equal">
      <formula>"OG"</formula>
    </cfRule>
    <cfRule type="cellIs" dxfId="77" priority="239" stopIfTrue="1" operator="equal">
      <formula>"FAIL"</formula>
    </cfRule>
    <cfRule type="cellIs" dxfId="76" priority="240" stopIfTrue="1" operator="equal">
      <formula>"PASS"</formula>
    </cfRule>
  </conditionalFormatting>
  <conditionalFormatting sqref="S10:S11 AA10:AA14">
    <cfRule type="cellIs" dxfId="75" priority="235" stopIfTrue="1" operator="equal">
      <formula>"OG"</formula>
    </cfRule>
    <cfRule type="cellIs" dxfId="74" priority="236" stopIfTrue="1" operator="equal">
      <formula>"FAIL"</formula>
    </cfRule>
    <cfRule type="cellIs" dxfId="73" priority="237" stopIfTrue="1" operator="equal">
      <formula>"PASS"</formula>
    </cfRule>
  </conditionalFormatting>
  <conditionalFormatting sqref="B10:B14">
    <cfRule type="cellIs" dxfId="72" priority="234" stopIfTrue="1" operator="equal">
      <formula>"none"</formula>
    </cfRule>
  </conditionalFormatting>
  <conditionalFormatting sqref="B10:C14">
    <cfRule type="cellIs" dxfId="71" priority="233" stopIfTrue="1" operator="equal">
      <formula>"none"</formula>
    </cfRule>
  </conditionalFormatting>
  <conditionalFormatting sqref="A10:A14">
    <cfRule type="cellIs" dxfId="70" priority="232" stopIfTrue="1" operator="equal">
      <formula>"none"</formula>
    </cfRule>
  </conditionalFormatting>
  <conditionalFormatting sqref="T10:T11">
    <cfRule type="cellIs" dxfId="69" priority="229" stopIfTrue="1" operator="equal">
      <formula>"OG"</formula>
    </cfRule>
    <cfRule type="cellIs" dxfId="68" priority="230" stopIfTrue="1" operator="equal">
      <formula>"FAIL"</formula>
    </cfRule>
    <cfRule type="cellIs" dxfId="67" priority="231" stopIfTrue="1" operator="equal">
      <formula>"PASS"</formula>
    </cfRule>
  </conditionalFormatting>
  <conditionalFormatting sqref="T14">
    <cfRule type="cellIs" dxfId="66" priority="226" stopIfTrue="1" operator="equal">
      <formula>"OG"</formula>
    </cfRule>
    <cfRule type="cellIs" dxfId="65" priority="227" stopIfTrue="1" operator="equal">
      <formula>"FAIL"</formula>
    </cfRule>
    <cfRule type="cellIs" dxfId="64" priority="228" stopIfTrue="1" operator="equal">
      <formula>"PASS"</formula>
    </cfRule>
  </conditionalFormatting>
  <conditionalFormatting sqref="U12">
    <cfRule type="cellIs" dxfId="63" priority="217" stopIfTrue="1" operator="equal">
      <formula>"OG"</formula>
    </cfRule>
    <cfRule type="cellIs" dxfId="62" priority="218" stopIfTrue="1" operator="equal">
      <formula>"FAIL"</formula>
    </cfRule>
    <cfRule type="cellIs" dxfId="61" priority="219" stopIfTrue="1" operator="equal">
      <formula>"PASS"</formula>
    </cfRule>
  </conditionalFormatting>
  <conditionalFormatting sqref="U12">
    <cfRule type="cellIs" dxfId="60" priority="216" stopIfTrue="1" operator="equal">
      <formula>"separate values with commas"</formula>
    </cfRule>
  </conditionalFormatting>
  <conditionalFormatting sqref="V12">
    <cfRule type="cellIs" dxfId="59" priority="223" stopIfTrue="1" operator="equal">
      <formula>"OG"</formula>
    </cfRule>
    <cfRule type="cellIs" dxfId="58" priority="224" stopIfTrue="1" operator="equal">
      <formula>"FAIL"</formula>
    </cfRule>
    <cfRule type="cellIs" dxfId="57" priority="225" stopIfTrue="1" operator="equal">
      <formula>"PASS"</formula>
    </cfRule>
  </conditionalFormatting>
  <conditionalFormatting sqref="W12">
    <cfRule type="cellIs" dxfId="56" priority="220" stopIfTrue="1" operator="equal">
      <formula>"OG"</formula>
    </cfRule>
    <cfRule type="cellIs" dxfId="55" priority="221" stopIfTrue="1" operator="equal">
      <formula>"FAIL"</formula>
    </cfRule>
    <cfRule type="cellIs" dxfId="54" priority="222" stopIfTrue="1" operator="equal">
      <formula>"PASS"</formula>
    </cfRule>
  </conditionalFormatting>
  <conditionalFormatting sqref="T12">
    <cfRule type="cellIs" dxfId="53" priority="213" stopIfTrue="1" operator="equal">
      <formula>"OG"</formula>
    </cfRule>
    <cfRule type="cellIs" dxfId="52" priority="214" stopIfTrue="1" operator="equal">
      <formula>"FAIL"</formula>
    </cfRule>
    <cfRule type="cellIs" dxfId="51" priority="215" stopIfTrue="1" operator="equal">
      <formula>"PASS"</formula>
    </cfRule>
  </conditionalFormatting>
  <conditionalFormatting sqref="T4">
    <cfRule type="cellIs" dxfId="50" priority="206" stopIfTrue="1" operator="equal">
      <formula>"OG"</formula>
    </cfRule>
    <cfRule type="cellIs" dxfId="49" priority="207" stopIfTrue="1" operator="equal">
      <formula>"FAIL"</formula>
    </cfRule>
    <cfRule type="cellIs" dxfId="48" priority="208" stopIfTrue="1" operator="equal">
      <formula>"PASS"</formula>
    </cfRule>
  </conditionalFormatting>
  <conditionalFormatting sqref="T5">
    <cfRule type="cellIs" dxfId="47" priority="203" stopIfTrue="1" operator="equal">
      <formula>"OG"</formula>
    </cfRule>
    <cfRule type="cellIs" dxfId="46" priority="204" stopIfTrue="1" operator="equal">
      <formula>"FAIL"</formula>
    </cfRule>
    <cfRule type="cellIs" dxfId="45" priority="205" stopIfTrue="1" operator="equal">
      <formula>"PASS"</formula>
    </cfRule>
  </conditionalFormatting>
  <conditionalFormatting sqref="W3">
    <cfRule type="cellIs" dxfId="44" priority="196" stopIfTrue="1" operator="equal">
      <formula>"OG"</formula>
    </cfRule>
    <cfRule type="cellIs" dxfId="43" priority="197" stopIfTrue="1" operator="equal">
      <formula>"FAIL"</formula>
    </cfRule>
    <cfRule type="cellIs" dxfId="42" priority="198" stopIfTrue="1" operator="equal">
      <formula>"PASS"</formula>
    </cfRule>
  </conditionalFormatting>
  <conditionalFormatting sqref="W3">
    <cfRule type="cellIs" dxfId="41" priority="195" stopIfTrue="1" operator="equal">
      <formula>"separate values with commas"</formula>
    </cfRule>
  </conditionalFormatting>
  <conditionalFormatting sqref="W5">
    <cfRule type="cellIs" dxfId="40" priority="192" stopIfTrue="1" operator="equal">
      <formula>"OG"</formula>
    </cfRule>
    <cfRule type="cellIs" dxfId="39" priority="193" stopIfTrue="1" operator="equal">
      <formula>"FAIL"</formula>
    </cfRule>
    <cfRule type="cellIs" dxfId="38" priority="194" stopIfTrue="1" operator="equal">
      <formula>"PASS"</formula>
    </cfRule>
  </conditionalFormatting>
  <conditionalFormatting sqref="W5">
    <cfRule type="cellIs" dxfId="37" priority="191" stopIfTrue="1" operator="equal">
      <formula>"separate values with commas"</formula>
    </cfRule>
  </conditionalFormatting>
  <conditionalFormatting sqref="W4">
    <cfRule type="cellIs" dxfId="36" priority="188" stopIfTrue="1" operator="equal">
      <formula>"OG"</formula>
    </cfRule>
    <cfRule type="cellIs" dxfId="35" priority="189" stopIfTrue="1" operator="equal">
      <formula>"FAIL"</formula>
    </cfRule>
    <cfRule type="cellIs" dxfId="34" priority="190" stopIfTrue="1" operator="equal">
      <formula>"PASS"</formula>
    </cfRule>
  </conditionalFormatting>
  <conditionalFormatting sqref="W4">
    <cfRule type="cellIs" dxfId="33" priority="187" stopIfTrue="1" operator="equal">
      <formula>"separate values with commas"</formula>
    </cfRule>
  </conditionalFormatting>
  <conditionalFormatting sqref="U4">
    <cfRule type="cellIs" dxfId="32" priority="184" stopIfTrue="1" operator="equal">
      <formula>"OG"</formula>
    </cfRule>
    <cfRule type="cellIs" dxfId="31" priority="185" stopIfTrue="1" operator="equal">
      <formula>"FAIL"</formula>
    </cfRule>
    <cfRule type="cellIs" dxfId="30" priority="186" stopIfTrue="1" operator="equal">
      <formula>"PASS"</formula>
    </cfRule>
  </conditionalFormatting>
  <conditionalFormatting sqref="U4">
    <cfRule type="cellIs" dxfId="29" priority="183" stopIfTrue="1" operator="equal">
      <formula>"separate values with commas"</formula>
    </cfRule>
  </conditionalFormatting>
  <conditionalFormatting sqref="U5">
    <cfRule type="cellIs" dxfId="28" priority="180" stopIfTrue="1" operator="equal">
      <formula>"OG"</formula>
    </cfRule>
    <cfRule type="cellIs" dxfId="27" priority="181" stopIfTrue="1" operator="equal">
      <formula>"FAIL"</formula>
    </cfRule>
    <cfRule type="cellIs" dxfId="26" priority="182" stopIfTrue="1" operator="equal">
      <formula>"PASS"</formula>
    </cfRule>
  </conditionalFormatting>
  <conditionalFormatting sqref="U5">
    <cfRule type="cellIs" dxfId="25" priority="179" stopIfTrue="1" operator="equal">
      <formula>"separate values with commas"</formula>
    </cfRule>
  </conditionalFormatting>
  <conditionalFormatting sqref="T6">
    <cfRule type="cellIs" dxfId="24" priority="176" stopIfTrue="1" operator="equal">
      <formula>"OG"</formula>
    </cfRule>
    <cfRule type="cellIs" dxfId="23" priority="177" stopIfTrue="1" operator="equal">
      <formula>"FAIL"</formula>
    </cfRule>
    <cfRule type="cellIs" dxfId="22" priority="178" stopIfTrue="1" operator="equal">
      <formula>"PASS"</formula>
    </cfRule>
  </conditionalFormatting>
  <conditionalFormatting sqref="T7:T8">
    <cfRule type="cellIs" dxfId="21" priority="23" stopIfTrue="1" operator="equal">
      <formula>"OG"</formula>
    </cfRule>
    <cfRule type="cellIs" dxfId="20" priority="24" stopIfTrue="1" operator="equal">
      <formula>"FAIL"</formula>
    </cfRule>
    <cfRule type="cellIs" dxfId="19" priority="25" stopIfTrue="1" operator="equal">
      <formula>"PASS"</formula>
    </cfRule>
  </conditionalFormatting>
  <conditionalFormatting sqref="V7:V8">
    <cfRule type="cellIs" dxfId="18" priority="20" stopIfTrue="1" operator="equal">
      <formula>"OG"</formula>
    </cfRule>
    <cfRule type="cellIs" dxfId="17" priority="21" stopIfTrue="1" operator="equal">
      <formula>"FAIL"</formula>
    </cfRule>
    <cfRule type="cellIs" dxfId="16" priority="22" stopIfTrue="1" operator="equal">
      <formula>"PASS"</formula>
    </cfRule>
  </conditionalFormatting>
  <conditionalFormatting sqref="W7:W8">
    <cfRule type="cellIs" dxfId="15" priority="17" stopIfTrue="1" operator="equal">
      <formula>"OG"</formula>
    </cfRule>
    <cfRule type="cellIs" dxfId="14" priority="18" stopIfTrue="1" operator="equal">
      <formula>"FAIL"</formula>
    </cfRule>
    <cfRule type="cellIs" dxfId="13" priority="19" stopIfTrue="1" operator="equal">
      <formula>"PASS"</formula>
    </cfRule>
  </conditionalFormatting>
  <conditionalFormatting sqref="Z22:AA22 S22:W22">
    <cfRule type="cellIs" dxfId="12" priority="14" stopIfTrue="1" operator="equal">
      <formula>"OG"</formula>
    </cfRule>
    <cfRule type="cellIs" dxfId="11" priority="15" stopIfTrue="1" operator="equal">
      <formula>"FAIL"</formula>
    </cfRule>
    <cfRule type="cellIs" dxfId="10" priority="16" stopIfTrue="1" operator="equal">
      <formula>"PASS"</formula>
    </cfRule>
  </conditionalFormatting>
  <conditionalFormatting sqref="U22">
    <cfRule type="cellIs" dxfId="9" priority="13" stopIfTrue="1" operator="equal">
      <formula>"separate values with commas"</formula>
    </cfRule>
  </conditionalFormatting>
  <conditionalFormatting sqref="U29">
    <cfRule type="cellIs" dxfId="8" priority="9" stopIfTrue="1" operator="equal">
      <formula>"separate values with commas"</formula>
    </cfRule>
  </conditionalFormatting>
  <conditionalFormatting sqref="Z29:AA29 S29:W29">
    <cfRule type="cellIs" dxfId="7" priority="10" stopIfTrue="1" operator="equal">
      <formula>"OG"</formula>
    </cfRule>
    <cfRule type="cellIs" dxfId="6" priority="11" stopIfTrue="1" operator="equal">
      <formula>"FAIL"</formula>
    </cfRule>
    <cfRule type="cellIs" dxfId="5" priority="12" stopIfTrue="1" operator="equal">
      <formula>"PASS"</formula>
    </cfRule>
  </conditionalFormatting>
  <conditionalFormatting sqref="U36">
    <cfRule type="cellIs" dxfId="4" priority="1" stopIfTrue="1" operator="equal">
      <formula>"separate values with commas"</formula>
    </cfRule>
  </conditionalFormatting>
  <conditionalFormatting sqref="Z36:AA36 S36:W36">
    <cfRule type="cellIs" dxfId="3" priority="2" stopIfTrue="1" operator="equal">
      <formula>"OG"</formula>
    </cfRule>
    <cfRule type="cellIs" dxfId="2" priority="3" stopIfTrue="1" operator="equal">
      <formula>"FAIL"</formula>
    </cfRule>
    <cfRule type="cellIs" dxfId="1" priority="4" stopIfTrue="1" operator="equal">
      <formula>"PASS"</formula>
    </cfRule>
  </conditionalFormatting>
  <dataValidations count="5">
    <dataValidation type="list" allowBlank="1" showInputMessage="1" showErrorMessage="1" sqref="U45:W45 T45:T65561 U9:W9 T3:T12 U15:W15 T14:T23 U22:W22 T29:W29 T36:W36" xr:uid="{00000000-0002-0000-0300-000000000000}">
      <formula1>StubbingTypes</formula1>
    </dataValidation>
    <dataValidation type="list" allowBlank="1" showInputMessage="1" showErrorMessage="1" sqref="I45:I75 I3:I4 I6:I23 I29 I36" xr:uid="{00000000-0002-0000-0300-000001000000}">
      <formula1>Input_Variables</formula1>
    </dataValidation>
    <dataValidation type="list" allowBlank="1" showInputMessage="1" showErrorMessage="1" sqref="L45:L65561 Y45:Y75 L9 L15:L23 Y3:Y23 L29 Y29 L36 Y36" xr:uid="{00000000-0002-0000-0300-000002000000}">
      <formula1>IRT</formula1>
    </dataValidation>
    <dataValidation type="list" allowBlank="1" showInputMessage="1" showErrorMessage="1" sqref="P45:P75 P3:P23 P29 P36" xr:uid="{00000000-0002-0000-0300-000003000000}">
      <formula1>Output_Variables</formula1>
    </dataValidation>
    <dataValidation type="list" allowBlank="1" showInputMessage="1" showErrorMessage="1" sqref="D45:D1048576 D1:D23 D29 D36" xr:uid="{00000000-0002-0000-0300-000004000000}">
      <formula1>FunctionsList</formula1>
    </dataValidation>
  </dataValidations>
  <printOptions horizontalCentered="1"/>
  <pageMargins left="0.31496062992125984" right="0.31496062992125984" top="0.59055118110236227" bottom="0.59055118110236227" header="0.31496062992125984" footer="0.31496062992125984"/>
  <pageSetup paperSize="9" scale="40" orientation="landscape" horizontalDpi="300" verticalDpi="300" r:id="rId1"/>
  <headerFooter alignWithMargins="0">
    <oddHeader>&amp;L&amp;"Arial,Bold"&amp;14Test Cases</oddHeader>
    <oddFooter>&amp;CPage &amp;P / &amp;N</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5000000}">
          <x14:formula1>
            <xm:f>References!$D$114:$D$118</xm:f>
          </x14:formula1>
          <xm:sqref>K45:K1048576 K9 K15:K23 K29 K36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B3"/>
  <sheetViews>
    <sheetView workbookViewId="0">
      <pane xSplit="1" ySplit="2" topLeftCell="B3" activePane="bottomRight" state="frozen"/>
      <selection pane="topRight" activeCell="B1" sqref="B1"/>
      <selection pane="bottomLeft" activeCell="A3" sqref="A3"/>
      <selection pane="bottomRight" activeCell="A27" sqref="A27"/>
    </sheetView>
  </sheetViews>
  <sheetFormatPr defaultColWidth="9.1796875" defaultRowHeight="12.5" x14ac:dyDescent="0.25"/>
  <cols>
    <col min="1" max="1" width="80.54296875" style="1" customWidth="1"/>
    <col min="2" max="2" width="3.54296875" style="1" customWidth="1"/>
    <col min="3" max="16384" width="9.1796875" style="1"/>
  </cols>
  <sheetData>
    <row r="1" spans="1:2" ht="145" customHeight="1" x14ac:dyDescent="0.25">
      <c r="A1" s="44" t="s">
        <v>54</v>
      </c>
      <c r="B1" s="49"/>
    </row>
    <row r="2" spans="1:2" ht="14.5" x14ac:dyDescent="0.25">
      <c r="A2" s="45" t="s">
        <v>53</v>
      </c>
      <c r="B2" s="46" t="str">
        <f>IF(COUNTIF(B3:B9999,"X")=0,"X","")</f>
        <v>X</v>
      </c>
    </row>
    <row r="3" spans="1:2" ht="14.5" x14ac:dyDescent="0.25">
      <c r="A3" s="48"/>
      <c r="B3" s="20"/>
    </row>
  </sheetData>
  <phoneticPr fontId="6" type="noConversion"/>
  <conditionalFormatting sqref="B3">
    <cfRule type="cellIs" dxfId="0" priority="1" stopIfTrue="1" operator="equal">
      <formula>"X"</formula>
    </cfRule>
  </conditionalFormatting>
  <pageMargins left="0.31496062992125984" right="0.31496062992125984" top="0.59055118110236227" bottom="0.59055118110236227" header="0.31496062992125984" footer="0.31496062992125984"/>
  <pageSetup paperSize="9" scale="80"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118"/>
  <sheetViews>
    <sheetView topLeftCell="A85" workbookViewId="0">
      <selection activeCell="D119" sqref="D119"/>
    </sheetView>
  </sheetViews>
  <sheetFormatPr defaultColWidth="9.1796875" defaultRowHeight="12.5" x14ac:dyDescent="0.25"/>
  <cols>
    <col min="1" max="1" width="9.1796875" style="1"/>
    <col min="2" max="2" width="11.54296875" style="1" bestFit="1" customWidth="1"/>
    <col min="3" max="5" width="9.1796875" style="1"/>
    <col min="6" max="6" width="17.453125" style="1" customWidth="1"/>
    <col min="7" max="16384" width="9.1796875" style="1"/>
  </cols>
  <sheetData>
    <row r="1" spans="1:7" ht="13" x14ac:dyDescent="0.3">
      <c r="A1" s="16" t="s">
        <v>103</v>
      </c>
    </row>
    <row r="2" spans="1:7" x14ac:dyDescent="0.25">
      <c r="A2" s="54">
        <v>42</v>
      </c>
    </row>
    <row r="4" spans="1:7" ht="13" x14ac:dyDescent="0.3">
      <c r="D4" s="16" t="s">
        <v>36</v>
      </c>
      <c r="G4" s="2"/>
    </row>
    <row r="5" spans="1:7" x14ac:dyDescent="0.25">
      <c r="B5" s="1" t="s">
        <v>144</v>
      </c>
      <c r="C5" s="1" t="s">
        <v>140</v>
      </c>
      <c r="D5" s="2" t="s">
        <v>32</v>
      </c>
      <c r="G5" s="2" t="s">
        <v>100</v>
      </c>
    </row>
    <row r="6" spans="1:7" x14ac:dyDescent="0.25">
      <c r="B6" s="1" t="s">
        <v>144</v>
      </c>
      <c r="C6" s="1" t="s">
        <v>140</v>
      </c>
      <c r="D6" s="2" t="s">
        <v>138</v>
      </c>
      <c r="G6" s="2" t="s">
        <v>139</v>
      </c>
    </row>
    <row r="7" spans="1:7" x14ac:dyDescent="0.25">
      <c r="B7" s="1" t="s">
        <v>144</v>
      </c>
      <c r="C7" s="1" t="s">
        <v>140</v>
      </c>
      <c r="D7" s="2" t="s">
        <v>148</v>
      </c>
      <c r="G7" s="2" t="s">
        <v>149</v>
      </c>
    </row>
    <row r="8" spans="1:7" x14ac:dyDescent="0.25">
      <c r="B8" s="86" t="s">
        <v>144</v>
      </c>
      <c r="C8" s="86" t="s">
        <v>140</v>
      </c>
      <c r="D8" s="2" t="s">
        <v>145</v>
      </c>
      <c r="G8" s="2" t="s">
        <v>141</v>
      </c>
    </row>
    <row r="9" spans="1:7" x14ac:dyDescent="0.25">
      <c r="B9" s="86" t="s">
        <v>144</v>
      </c>
      <c r="C9" s="86" t="s">
        <v>140</v>
      </c>
      <c r="D9" s="2" t="s">
        <v>142</v>
      </c>
      <c r="G9" s="2" t="s">
        <v>143</v>
      </c>
    </row>
    <row r="10" spans="1:7" x14ac:dyDescent="0.25">
      <c r="B10" s="86" t="s">
        <v>144</v>
      </c>
      <c r="C10" s="86" t="s">
        <v>140</v>
      </c>
      <c r="D10" s="2" t="s">
        <v>33</v>
      </c>
      <c r="G10" s="2" t="s">
        <v>34</v>
      </c>
    </row>
    <row r="11" spans="1:7" x14ac:dyDescent="0.25">
      <c r="D11" s="2"/>
      <c r="G11" s="2"/>
    </row>
    <row r="12" spans="1:7" ht="13" x14ac:dyDescent="0.3">
      <c r="D12" s="16" t="s">
        <v>147</v>
      </c>
      <c r="G12" s="2"/>
    </row>
    <row r="13" spans="1:7" x14ac:dyDescent="0.25">
      <c r="D13" s="2" t="s">
        <v>154</v>
      </c>
      <c r="G13" s="2"/>
    </row>
    <row r="14" spans="1:7" x14ac:dyDescent="0.25">
      <c r="D14" s="2" t="s">
        <v>155</v>
      </c>
      <c r="G14" s="2"/>
    </row>
    <row r="15" spans="1:7" x14ac:dyDescent="0.25">
      <c r="D15" s="2"/>
      <c r="G15" s="2"/>
    </row>
    <row r="16" spans="1:7" x14ac:dyDescent="0.25">
      <c r="D16" s="2"/>
      <c r="G16" s="2"/>
    </row>
    <row r="17" spans="4:7" ht="13" x14ac:dyDescent="0.3">
      <c r="D17" s="16" t="s">
        <v>37</v>
      </c>
      <c r="G17" s="2"/>
    </row>
    <row r="18" spans="4:7" x14ac:dyDescent="0.25">
      <c r="D18" s="2" t="s">
        <v>146</v>
      </c>
      <c r="G18" s="2"/>
    </row>
    <row r="19" spans="4:7" x14ac:dyDescent="0.25">
      <c r="D19" s="2" t="s">
        <v>147</v>
      </c>
      <c r="G19" s="2"/>
    </row>
    <row r="20" spans="4:7" ht="13" x14ac:dyDescent="0.3">
      <c r="D20" s="16"/>
      <c r="G20" s="2"/>
    </row>
    <row r="21" spans="4:7" ht="13" x14ac:dyDescent="0.3">
      <c r="D21" s="16" t="s">
        <v>35</v>
      </c>
      <c r="G21" s="2"/>
    </row>
    <row r="22" spans="4:7" x14ac:dyDescent="0.25">
      <c r="D22" s="2" t="s">
        <v>88</v>
      </c>
      <c r="E22" s="2" t="s">
        <v>89</v>
      </c>
      <c r="G22" s="2"/>
    </row>
    <row r="23" spans="4:7" x14ac:dyDescent="0.25">
      <c r="D23" s="2" t="s">
        <v>132</v>
      </c>
      <c r="E23" s="2" t="s">
        <v>133</v>
      </c>
      <c r="G23" s="2"/>
    </row>
    <row r="24" spans="4:7" x14ac:dyDescent="0.25">
      <c r="D24" s="2" t="s">
        <v>90</v>
      </c>
      <c r="E24" s="2" t="s">
        <v>91</v>
      </c>
      <c r="G24" s="2"/>
    </row>
    <row r="25" spans="4:7" x14ac:dyDescent="0.25">
      <c r="D25" s="2" t="s">
        <v>92</v>
      </c>
      <c r="E25" s="2" t="s">
        <v>93</v>
      </c>
      <c r="G25" s="2"/>
    </row>
    <row r="26" spans="4:7" x14ac:dyDescent="0.25">
      <c r="D26" s="2" t="s">
        <v>94</v>
      </c>
      <c r="E26" s="2" t="s">
        <v>95</v>
      </c>
      <c r="G26" s="2"/>
    </row>
    <row r="27" spans="4:7" x14ac:dyDescent="0.25">
      <c r="D27" s="2" t="s">
        <v>96</v>
      </c>
      <c r="E27" s="2" t="s">
        <v>97</v>
      </c>
      <c r="G27" s="2"/>
    </row>
    <row r="28" spans="4:7" x14ac:dyDescent="0.25">
      <c r="D28" s="2" t="s">
        <v>98</v>
      </c>
      <c r="E28" s="2" t="s">
        <v>99</v>
      </c>
      <c r="G28" s="2"/>
    </row>
    <row r="29" spans="4:7" x14ac:dyDescent="0.25">
      <c r="D29" s="2" t="s">
        <v>104</v>
      </c>
      <c r="E29" s="2" t="s">
        <v>105</v>
      </c>
      <c r="G29" s="2"/>
    </row>
    <row r="30" spans="4:7" x14ac:dyDescent="0.25">
      <c r="D30" s="2" t="s">
        <v>106</v>
      </c>
      <c r="E30" s="2" t="s">
        <v>107</v>
      </c>
      <c r="G30" s="2"/>
    </row>
    <row r="31" spans="4:7" x14ac:dyDescent="0.25">
      <c r="D31" s="2" t="s">
        <v>108</v>
      </c>
      <c r="E31" s="2" t="s">
        <v>109</v>
      </c>
      <c r="G31" s="2"/>
    </row>
    <row r="32" spans="4:7" x14ac:dyDescent="0.25">
      <c r="D32" s="2" t="s">
        <v>110</v>
      </c>
      <c r="E32" s="2" t="s">
        <v>111</v>
      </c>
      <c r="G32" s="2"/>
    </row>
    <row r="33" spans="4:7" x14ac:dyDescent="0.25">
      <c r="D33" s="2" t="s">
        <v>134</v>
      </c>
      <c r="E33" s="2" t="s">
        <v>135</v>
      </c>
      <c r="G33" s="2"/>
    </row>
    <row r="34" spans="4:7" x14ac:dyDescent="0.25">
      <c r="D34" s="2" t="s">
        <v>112</v>
      </c>
      <c r="E34" s="2" t="s">
        <v>113</v>
      </c>
      <c r="G34" s="2"/>
    </row>
    <row r="35" spans="4:7" x14ac:dyDescent="0.25">
      <c r="D35" s="2" t="s">
        <v>114</v>
      </c>
      <c r="E35" s="55" t="s">
        <v>115</v>
      </c>
    </row>
    <row r="36" spans="4:7" x14ac:dyDescent="0.25">
      <c r="D36" s="2" t="s">
        <v>136</v>
      </c>
      <c r="E36" s="55" t="s">
        <v>137</v>
      </c>
      <c r="G36" s="2"/>
    </row>
    <row r="37" spans="4:7" x14ac:dyDescent="0.25">
      <c r="D37" s="2" t="s">
        <v>150</v>
      </c>
      <c r="E37" s="55" t="s">
        <v>151</v>
      </c>
      <c r="G37" s="2"/>
    </row>
    <row r="38" spans="4:7" x14ac:dyDescent="0.25">
      <c r="D38" s="2" t="s">
        <v>152</v>
      </c>
      <c r="E38" s="55" t="s">
        <v>153</v>
      </c>
      <c r="G38" s="2"/>
    </row>
    <row r="39" spans="4:7" x14ac:dyDescent="0.25">
      <c r="D39" s="2"/>
      <c r="G39" s="2"/>
    </row>
    <row r="40" spans="4:7" ht="13" x14ac:dyDescent="0.3">
      <c r="D40" s="16" t="s">
        <v>38</v>
      </c>
      <c r="G40" s="16" t="s">
        <v>118</v>
      </c>
    </row>
    <row r="41" spans="4:7" x14ac:dyDescent="0.25">
      <c r="D41" s="2" t="s">
        <v>2</v>
      </c>
      <c r="G41" s="2" t="s">
        <v>122</v>
      </c>
    </row>
    <row r="42" spans="4:7" x14ac:dyDescent="0.25">
      <c r="D42" s="2" t="s">
        <v>1</v>
      </c>
      <c r="G42" s="2" t="s">
        <v>156</v>
      </c>
    </row>
    <row r="43" spans="4:7" x14ac:dyDescent="0.25">
      <c r="D43" s="2" t="s">
        <v>0</v>
      </c>
      <c r="G43" s="2" t="s">
        <v>157</v>
      </c>
    </row>
    <row r="44" spans="4:7" x14ac:dyDescent="0.25">
      <c r="D44" s="2"/>
      <c r="G44" s="2" t="s">
        <v>158</v>
      </c>
    </row>
    <row r="45" spans="4:7" x14ac:dyDescent="0.25">
      <c r="D45" s="2"/>
      <c r="G45" s="2" t="s">
        <v>119</v>
      </c>
    </row>
    <row r="46" spans="4:7" x14ac:dyDescent="0.25">
      <c r="D46" s="2"/>
      <c r="G46" s="2" t="s">
        <v>120</v>
      </c>
    </row>
    <row r="47" spans="4:7" ht="13" x14ac:dyDescent="0.3">
      <c r="D47" s="16" t="s">
        <v>39</v>
      </c>
      <c r="G47" s="2" t="s">
        <v>121</v>
      </c>
    </row>
    <row r="48" spans="4:7" x14ac:dyDescent="0.25">
      <c r="D48" s="2" t="s">
        <v>8</v>
      </c>
      <c r="G48" s="2" t="s">
        <v>159</v>
      </c>
    </row>
    <row r="49" spans="4:7" x14ac:dyDescent="0.25">
      <c r="D49" s="2" t="s">
        <v>9</v>
      </c>
      <c r="G49" s="2"/>
    </row>
    <row r="50" spans="4:7" x14ac:dyDescent="0.25">
      <c r="D50" s="2"/>
      <c r="G50" s="2"/>
    </row>
    <row r="51" spans="4:7" x14ac:dyDescent="0.25">
      <c r="D51" s="2"/>
      <c r="G51" s="2"/>
    </row>
    <row r="52" spans="4:7" x14ac:dyDescent="0.25">
      <c r="D52" s="2"/>
      <c r="G52" s="2"/>
    </row>
    <row r="53" spans="4:7" x14ac:dyDescent="0.25">
      <c r="D53" s="2"/>
      <c r="G53" s="2"/>
    </row>
    <row r="54" spans="4:7" ht="13" x14ac:dyDescent="0.3">
      <c r="D54" s="16" t="s">
        <v>40</v>
      </c>
      <c r="G54" s="2"/>
    </row>
    <row r="55" spans="4:7" x14ac:dyDescent="0.25">
      <c r="D55" s="17" t="s">
        <v>41</v>
      </c>
      <c r="G55" s="2" t="s">
        <v>42</v>
      </c>
    </row>
    <row r="56" spans="4:7" x14ac:dyDescent="0.25">
      <c r="D56" s="17" t="s">
        <v>43</v>
      </c>
      <c r="G56" s="17" t="s">
        <v>48</v>
      </c>
    </row>
    <row r="57" spans="4:7" x14ac:dyDescent="0.25">
      <c r="D57" s="17" t="s">
        <v>56</v>
      </c>
      <c r="G57" s="17" t="s">
        <v>57</v>
      </c>
    </row>
    <row r="58" spans="4:7" x14ac:dyDescent="0.25">
      <c r="D58" s="17" t="s">
        <v>160</v>
      </c>
      <c r="G58" s="17" t="s">
        <v>161</v>
      </c>
    </row>
    <row r="59" spans="4:7" x14ac:dyDescent="0.25">
      <c r="D59" s="17" t="s">
        <v>44</v>
      </c>
      <c r="G59" s="17" t="s">
        <v>49</v>
      </c>
    </row>
    <row r="60" spans="4:7" x14ac:dyDescent="0.25">
      <c r="D60" s="17" t="s">
        <v>45</v>
      </c>
      <c r="G60" s="17" t="s">
        <v>50</v>
      </c>
    </row>
    <row r="61" spans="4:7" x14ac:dyDescent="0.25">
      <c r="D61" s="17" t="s">
        <v>46</v>
      </c>
      <c r="G61" s="17" t="s">
        <v>51</v>
      </c>
    </row>
    <row r="62" spans="4:7" x14ac:dyDescent="0.25">
      <c r="D62" s="17" t="s">
        <v>47</v>
      </c>
      <c r="G62" s="17" t="s">
        <v>52</v>
      </c>
    </row>
    <row r="65" spans="2:10" ht="13" x14ac:dyDescent="0.3">
      <c r="D65" s="16" t="s">
        <v>61</v>
      </c>
    </row>
    <row r="66" spans="2:10" x14ac:dyDescent="0.25">
      <c r="D66" s="2" t="s">
        <v>58</v>
      </c>
    </row>
    <row r="67" spans="2:10" x14ac:dyDescent="0.25">
      <c r="D67" s="2" t="s">
        <v>59</v>
      </c>
    </row>
    <row r="68" spans="2:10" x14ac:dyDescent="0.25">
      <c r="D68" s="2" t="s">
        <v>60</v>
      </c>
    </row>
    <row r="70" spans="2:10" ht="13" x14ac:dyDescent="0.3">
      <c r="B70" s="146" t="s">
        <v>68</v>
      </c>
      <c r="D70" s="27" t="s">
        <v>62</v>
      </c>
    </row>
    <row r="71" spans="2:10" x14ac:dyDescent="0.25">
      <c r="B71" s="146"/>
      <c r="C71" s="2"/>
      <c r="D71" s="2" t="s">
        <v>83</v>
      </c>
      <c r="E71" s="2"/>
      <c r="F71" s="2"/>
      <c r="G71" s="47" t="s">
        <v>85</v>
      </c>
      <c r="H71" s="2"/>
      <c r="I71" s="2"/>
      <c r="J71" s="2"/>
    </row>
    <row r="72" spans="2:10" x14ac:dyDescent="0.25">
      <c r="B72" s="146"/>
      <c r="C72" s="2"/>
      <c r="D72" s="2" t="s">
        <v>84</v>
      </c>
      <c r="E72" s="2"/>
      <c r="F72" s="2"/>
      <c r="G72" s="47" t="s">
        <v>86</v>
      </c>
      <c r="H72" s="2"/>
      <c r="I72" s="2"/>
    </row>
    <row r="73" spans="2:10" x14ac:dyDescent="0.25">
      <c r="B73" s="146"/>
      <c r="C73" s="2"/>
      <c r="D73" s="2" t="s">
        <v>75</v>
      </c>
      <c r="E73" s="2"/>
      <c r="F73" s="2"/>
      <c r="G73" s="47" t="s">
        <v>63</v>
      </c>
      <c r="H73" s="2"/>
      <c r="I73" s="2"/>
      <c r="J73" s="2"/>
    </row>
    <row r="74" spans="2:10" x14ac:dyDescent="0.25">
      <c r="B74" s="146"/>
      <c r="C74" s="2"/>
      <c r="D74" s="2" t="s">
        <v>76</v>
      </c>
      <c r="E74" s="2"/>
      <c r="F74" s="2"/>
      <c r="G74" s="47" t="s">
        <v>64</v>
      </c>
      <c r="H74" s="2"/>
      <c r="I74" s="2"/>
      <c r="J74" s="2"/>
    </row>
    <row r="75" spans="2:10" x14ac:dyDescent="0.25">
      <c r="B75" s="146"/>
      <c r="C75" s="2"/>
      <c r="D75" s="2"/>
      <c r="E75" s="2"/>
      <c r="F75" s="2"/>
      <c r="G75" s="17"/>
      <c r="H75" s="2"/>
      <c r="I75" s="2"/>
      <c r="J75" s="2"/>
    </row>
    <row r="76" spans="2:10" ht="13" x14ac:dyDescent="0.3">
      <c r="B76" s="146"/>
      <c r="C76" s="2"/>
      <c r="D76" s="16" t="s">
        <v>67</v>
      </c>
      <c r="E76" s="2"/>
      <c r="F76" s="2"/>
      <c r="G76" s="17"/>
      <c r="H76" s="2"/>
      <c r="I76" s="2"/>
      <c r="J76" s="2"/>
    </row>
    <row r="77" spans="2:10" x14ac:dyDescent="0.25">
      <c r="B77" s="146"/>
      <c r="C77" s="2"/>
      <c r="D77" s="2" t="s">
        <v>77</v>
      </c>
      <c r="E77" s="2"/>
      <c r="F77" s="2"/>
      <c r="G77" s="26" t="s">
        <v>65</v>
      </c>
      <c r="H77" s="2"/>
      <c r="I77" s="2"/>
      <c r="J77" s="2"/>
    </row>
    <row r="78" spans="2:10" x14ac:dyDescent="0.25">
      <c r="B78" s="146"/>
      <c r="C78" s="2"/>
      <c r="D78" s="2" t="s">
        <v>78</v>
      </c>
      <c r="E78" s="2"/>
      <c r="F78" s="2"/>
      <c r="G78" s="26" t="s">
        <v>66</v>
      </c>
      <c r="H78" s="2"/>
      <c r="I78" s="2"/>
      <c r="J78" s="2"/>
    </row>
    <row r="79" spans="2:10" x14ac:dyDescent="0.25">
      <c r="C79" s="2"/>
      <c r="D79" s="2"/>
      <c r="E79" s="2"/>
      <c r="F79" s="2"/>
      <c r="G79" s="17"/>
      <c r="H79" s="2"/>
      <c r="I79" s="2"/>
      <c r="J79" s="2"/>
    </row>
    <row r="80" spans="2:10" ht="13" x14ac:dyDescent="0.3">
      <c r="C80" s="2"/>
      <c r="D80" s="16" t="s">
        <v>69</v>
      </c>
      <c r="E80" s="2"/>
      <c r="F80" s="2"/>
      <c r="G80" s="17"/>
      <c r="H80" s="2"/>
      <c r="I80" s="2"/>
      <c r="J80" s="2"/>
    </row>
    <row r="81" spans="3:10" x14ac:dyDescent="0.25">
      <c r="C81" s="2"/>
      <c r="D81" s="2" t="s">
        <v>70</v>
      </c>
      <c r="E81" s="2"/>
      <c r="F81" s="2"/>
      <c r="G81" s="17"/>
      <c r="H81" s="2"/>
      <c r="I81" s="2"/>
      <c r="J81" s="2"/>
    </row>
    <row r="82" spans="3:10" x14ac:dyDescent="0.25">
      <c r="C82" s="2"/>
      <c r="D82" s="2" t="s">
        <v>55</v>
      </c>
      <c r="E82" s="2"/>
      <c r="F82" s="2"/>
      <c r="G82" s="2"/>
      <c r="H82" s="2"/>
      <c r="I82" s="2"/>
      <c r="J82" s="2"/>
    </row>
    <row r="83" spans="3:10" x14ac:dyDescent="0.25">
      <c r="C83" s="2"/>
      <c r="D83" s="2"/>
      <c r="E83" s="2"/>
      <c r="F83" s="2"/>
      <c r="G83" s="2"/>
      <c r="H83" s="2"/>
      <c r="I83" s="2"/>
      <c r="J83" s="2"/>
    </row>
    <row r="84" spans="3:10" ht="13" x14ac:dyDescent="0.3">
      <c r="C84" s="2"/>
      <c r="D84" s="16" t="s">
        <v>128</v>
      </c>
      <c r="E84" s="2"/>
      <c r="F84" s="2"/>
      <c r="G84" s="2"/>
      <c r="H84" s="2"/>
      <c r="I84" s="2"/>
      <c r="J84" s="2"/>
    </row>
    <row r="85" spans="3:10" x14ac:dyDescent="0.25">
      <c r="D85" s="55" t="s">
        <v>129</v>
      </c>
    </row>
    <row r="89" spans="3:10" ht="13" x14ac:dyDescent="0.3">
      <c r="D89" s="16" t="s">
        <v>82</v>
      </c>
    </row>
    <row r="90" spans="3:10" x14ac:dyDescent="0.25">
      <c r="D90" s="2"/>
    </row>
    <row r="91" spans="3:10" x14ac:dyDescent="0.25">
      <c r="D91" s="2" t="s">
        <v>166</v>
      </c>
    </row>
    <row r="92" spans="3:10" x14ac:dyDescent="0.25">
      <c r="D92" s="2" t="s">
        <v>167</v>
      </c>
    </row>
    <row r="93" spans="3:10" x14ac:dyDescent="0.25">
      <c r="D93" s="2" t="s">
        <v>168</v>
      </c>
    </row>
    <row r="94" spans="3:10" x14ac:dyDescent="0.25">
      <c r="D94" s="2" t="s">
        <v>169</v>
      </c>
    </row>
    <row r="95" spans="3:10" x14ac:dyDescent="0.25">
      <c r="D95" s="2"/>
    </row>
    <row r="103" spans="4:4" ht="13" x14ac:dyDescent="0.3">
      <c r="D103" s="90" t="s">
        <v>178</v>
      </c>
    </row>
    <row r="104" spans="4:4" x14ac:dyDescent="0.25">
      <c r="D104" s="70" t="s">
        <v>176</v>
      </c>
    </row>
    <row r="105" spans="4:4" x14ac:dyDescent="0.25">
      <c r="D105" s="70" t="s">
        <v>177</v>
      </c>
    </row>
    <row r="113" spans="4:4" ht="13" x14ac:dyDescent="0.3">
      <c r="D113" s="90" t="s">
        <v>187</v>
      </c>
    </row>
    <row r="115" spans="4:4" x14ac:dyDescent="0.25">
      <c r="D115" s="1" t="s">
        <v>188</v>
      </c>
    </row>
    <row r="116" spans="4:4" x14ac:dyDescent="0.25">
      <c r="D116" s="1" t="s">
        <v>186</v>
      </c>
    </row>
    <row r="117" spans="4:4" x14ac:dyDescent="0.25">
      <c r="D117" s="86" t="s">
        <v>189</v>
      </c>
    </row>
    <row r="118" spans="4:4" x14ac:dyDescent="0.25">
      <c r="D118" s="86" t="s">
        <v>190</v>
      </c>
    </row>
  </sheetData>
  <mergeCells count="1">
    <mergeCell ref="B70:B78"/>
  </mergeCells>
  <phoneticPr fontId="6" type="noConversion"/>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G10"/>
  <sheetViews>
    <sheetView workbookViewId="0">
      <selection activeCell="B8" sqref="B8"/>
    </sheetView>
  </sheetViews>
  <sheetFormatPr defaultColWidth="9.1796875" defaultRowHeight="12.5" x14ac:dyDescent="0.25"/>
  <cols>
    <col min="1" max="1" width="11.54296875" style="1" bestFit="1" customWidth="1"/>
    <col min="2" max="2" width="35" style="1" bestFit="1" customWidth="1"/>
    <col min="3" max="3" width="46.54296875" style="1" customWidth="1"/>
    <col min="4" max="4" width="17.453125" style="1" customWidth="1"/>
    <col min="5" max="5" width="19.453125" style="1" customWidth="1"/>
    <col min="6" max="6" width="30.54296875" style="1" customWidth="1"/>
    <col min="7" max="7" width="0.81640625" style="1" customWidth="1"/>
    <col min="8" max="16384" width="9.1796875" style="1"/>
  </cols>
  <sheetData>
    <row r="1" spans="1:7" ht="14.5" x14ac:dyDescent="0.25">
      <c r="A1" s="39" t="s">
        <v>170</v>
      </c>
      <c r="B1" s="39" t="s">
        <v>171</v>
      </c>
      <c r="C1" s="39" t="s">
        <v>172</v>
      </c>
      <c r="D1" s="39" t="s">
        <v>173</v>
      </c>
      <c r="E1" s="39" t="s">
        <v>174</v>
      </c>
      <c r="F1" s="39" t="s">
        <v>175</v>
      </c>
      <c r="G1" s="72"/>
    </row>
    <row r="2" spans="1:7" x14ac:dyDescent="0.25">
      <c r="A2" s="70" t="s">
        <v>177</v>
      </c>
      <c r="B2" s="70" t="s">
        <v>210</v>
      </c>
      <c r="C2" s="70" t="s">
        <v>209</v>
      </c>
      <c r="D2" s="70" t="s">
        <v>169</v>
      </c>
      <c r="E2" s="70" t="s">
        <v>214</v>
      </c>
      <c r="F2" s="70" t="s">
        <v>215</v>
      </c>
      <c r="G2" s="72"/>
    </row>
    <row r="3" spans="1:7" x14ac:dyDescent="0.25">
      <c r="A3" s="70" t="s">
        <v>177</v>
      </c>
      <c r="B3" s="70" t="s">
        <v>210</v>
      </c>
      <c r="C3" s="70" t="s">
        <v>211</v>
      </c>
      <c r="D3" s="70" t="s">
        <v>214</v>
      </c>
      <c r="E3" s="70" t="s">
        <v>215</v>
      </c>
      <c r="F3" s="70" t="s">
        <v>216</v>
      </c>
      <c r="G3" s="72"/>
    </row>
    <row r="4" spans="1:7" x14ac:dyDescent="0.25">
      <c r="A4" s="70" t="s">
        <v>177</v>
      </c>
      <c r="B4" s="70" t="s">
        <v>210</v>
      </c>
      <c r="C4" s="70" t="s">
        <v>212</v>
      </c>
      <c r="D4" s="70" t="s">
        <v>169</v>
      </c>
      <c r="E4" s="70" t="s">
        <v>214</v>
      </c>
      <c r="F4" s="70" t="s">
        <v>215</v>
      </c>
      <c r="G4" s="72"/>
    </row>
    <row r="5" spans="1:7" x14ac:dyDescent="0.25">
      <c r="A5" s="70" t="s">
        <v>177</v>
      </c>
      <c r="B5" s="70" t="s">
        <v>210</v>
      </c>
      <c r="C5" s="70" t="s">
        <v>213</v>
      </c>
      <c r="D5" s="70" t="s">
        <v>214</v>
      </c>
      <c r="E5" s="70" t="s">
        <v>215</v>
      </c>
      <c r="F5" s="70" t="s">
        <v>216</v>
      </c>
      <c r="G5" s="72"/>
    </row>
    <row r="6" spans="1:7" x14ac:dyDescent="0.25">
      <c r="A6" s="70" t="s">
        <v>177</v>
      </c>
      <c r="B6" s="70" t="s">
        <v>222</v>
      </c>
      <c r="C6" s="70" t="s">
        <v>226</v>
      </c>
      <c r="D6" s="70" t="s">
        <v>169</v>
      </c>
      <c r="E6" s="70" t="s">
        <v>214</v>
      </c>
      <c r="F6" s="70" t="s">
        <v>223</v>
      </c>
      <c r="G6" s="72"/>
    </row>
    <row r="7" spans="1:7" x14ac:dyDescent="0.25">
      <c r="A7" s="70"/>
      <c r="B7" s="70"/>
      <c r="C7" s="70"/>
      <c r="D7" s="70"/>
      <c r="E7" s="70"/>
      <c r="F7" s="70"/>
      <c r="G7" s="72"/>
    </row>
    <row r="8" spans="1:7" x14ac:dyDescent="0.25">
      <c r="A8" s="70"/>
      <c r="B8" s="70"/>
      <c r="C8" s="70"/>
      <c r="D8" s="70"/>
      <c r="E8" s="70"/>
      <c r="F8" s="70"/>
      <c r="G8" s="72"/>
    </row>
    <row r="9" spans="1:7" x14ac:dyDescent="0.25">
      <c r="A9" s="70"/>
      <c r="B9" s="70"/>
      <c r="C9" s="70"/>
      <c r="D9" s="70"/>
      <c r="E9" s="70"/>
      <c r="F9" s="70"/>
      <c r="G9" s="72"/>
    </row>
    <row r="10" spans="1:7" ht="8.25" customHeight="1" x14ac:dyDescent="0.25">
      <c r="A10" s="78"/>
      <c r="B10" s="78"/>
      <c r="C10" s="78"/>
      <c r="D10" s="78"/>
      <c r="E10" s="78"/>
      <c r="F10" s="78"/>
      <c r="G10" s="78"/>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References!$D$104:$D$105</xm:f>
          </x14:formula1>
          <xm:sqref>A2:A9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4"/>
  <sheetViews>
    <sheetView workbookViewId="0">
      <selection activeCell="F5" sqref="F5"/>
    </sheetView>
  </sheetViews>
  <sheetFormatPr defaultColWidth="9.1796875" defaultRowHeight="12.5" x14ac:dyDescent="0.25"/>
  <cols>
    <col min="1" max="1" width="11.54296875" style="1" bestFit="1" customWidth="1"/>
    <col min="2" max="2" width="35" style="1" bestFit="1" customWidth="1"/>
    <col min="3" max="3" width="46.81640625" style="1" customWidth="1"/>
    <col min="4" max="4" width="31.453125" style="1" bestFit="1" customWidth="1"/>
    <col min="5" max="5" width="21" style="1" bestFit="1" customWidth="1"/>
    <col min="6" max="9" width="12.54296875" style="1" customWidth="1"/>
    <col min="10" max="10" width="0.81640625" style="1" customWidth="1"/>
    <col min="11" max="16384" width="9.1796875" style="1"/>
  </cols>
  <sheetData>
    <row r="1" spans="1:10" ht="14.5" x14ac:dyDescent="0.25">
      <c r="A1" s="39" t="s">
        <v>170</v>
      </c>
      <c r="B1" s="39" t="s">
        <v>171</v>
      </c>
      <c r="C1" s="39" t="s">
        <v>172</v>
      </c>
      <c r="D1" s="39" t="s">
        <v>179</v>
      </c>
      <c r="E1" s="39" t="s">
        <v>180</v>
      </c>
      <c r="F1" s="39" t="s">
        <v>181</v>
      </c>
      <c r="G1" s="39" t="s">
        <v>182</v>
      </c>
      <c r="H1" s="39" t="s">
        <v>183</v>
      </c>
      <c r="I1" s="39" t="s">
        <v>184</v>
      </c>
      <c r="J1" s="72"/>
    </row>
    <row r="2" spans="1:10" ht="14" x14ac:dyDescent="0.25">
      <c r="A2" s="70"/>
      <c r="B2" s="70" t="s">
        <v>210</v>
      </c>
      <c r="C2" s="100" t="s">
        <v>217</v>
      </c>
      <c r="D2" s="70" t="s">
        <v>209</v>
      </c>
      <c r="E2" s="70" t="s">
        <v>211</v>
      </c>
      <c r="F2" s="96" t="s">
        <v>214</v>
      </c>
      <c r="G2" s="97" t="s">
        <v>216</v>
      </c>
      <c r="H2" s="97" t="s">
        <v>169</v>
      </c>
      <c r="I2" s="97" t="s">
        <v>169</v>
      </c>
      <c r="J2" s="72"/>
    </row>
    <row r="3" spans="1:10" ht="14" x14ac:dyDescent="0.25">
      <c r="A3" s="70"/>
      <c r="B3" s="70" t="s">
        <v>210</v>
      </c>
      <c r="C3" s="99" t="s">
        <v>218</v>
      </c>
      <c r="D3" s="70" t="s">
        <v>219</v>
      </c>
      <c r="E3" s="70" t="s">
        <v>220</v>
      </c>
      <c r="F3" s="96" t="s">
        <v>214</v>
      </c>
      <c r="G3" s="97" t="s">
        <v>221</v>
      </c>
      <c r="H3" s="97" t="s">
        <v>169</v>
      </c>
      <c r="I3" s="97" t="s">
        <v>169</v>
      </c>
      <c r="J3" s="72"/>
    </row>
    <row r="4" spans="1:10" ht="8.25" customHeight="1" x14ac:dyDescent="0.25">
      <c r="A4" s="78"/>
      <c r="B4" s="78"/>
      <c r="C4" s="78"/>
      <c r="D4" s="78"/>
      <c r="E4" s="78"/>
      <c r="F4" s="78"/>
      <c r="G4" s="78"/>
      <c r="H4" s="78"/>
      <c r="I4" s="78"/>
      <c r="J4" s="78"/>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E19"/>
  <sheetViews>
    <sheetView workbookViewId="0"/>
  </sheetViews>
  <sheetFormatPr defaultColWidth="9.1796875" defaultRowHeight="12.5" x14ac:dyDescent="0.25"/>
  <cols>
    <col min="1" max="1" width="23.453125" style="1" customWidth="1"/>
    <col min="2" max="2" width="35" style="1" bestFit="1" customWidth="1"/>
    <col min="3" max="3" width="43.1796875" style="1" customWidth="1"/>
    <col min="4" max="4" width="69" style="1" customWidth="1"/>
    <col min="5" max="5" width="0.81640625" style="1" customWidth="1"/>
    <col min="6" max="16384" width="9.1796875" style="1"/>
  </cols>
  <sheetData>
    <row r="1" spans="1:5" ht="14.5" x14ac:dyDescent="0.25">
      <c r="A1" s="39" t="s">
        <v>191</v>
      </c>
      <c r="B1" s="39" t="s">
        <v>192</v>
      </c>
      <c r="C1" s="39" t="s">
        <v>193</v>
      </c>
      <c r="D1" s="39" t="s">
        <v>194</v>
      </c>
      <c r="E1" s="72"/>
    </row>
    <row r="2" spans="1:5" x14ac:dyDescent="0.25">
      <c r="A2" s="70"/>
      <c r="B2" s="70"/>
      <c r="C2" s="70"/>
      <c r="D2" s="70"/>
      <c r="E2" s="72"/>
    </row>
    <row r="3" spans="1:5" x14ac:dyDescent="0.25">
      <c r="A3" s="70"/>
      <c r="B3" s="70"/>
      <c r="C3" s="70"/>
      <c r="D3" s="70"/>
      <c r="E3" s="72"/>
    </row>
    <row r="4" spans="1:5" x14ac:dyDescent="0.25">
      <c r="A4" s="70"/>
      <c r="B4" s="70"/>
      <c r="C4" s="70"/>
      <c r="D4" s="70"/>
      <c r="E4" s="72"/>
    </row>
    <row r="5" spans="1:5" x14ac:dyDescent="0.25">
      <c r="A5" s="70"/>
      <c r="B5" s="70"/>
      <c r="C5" s="70"/>
      <c r="D5" s="70"/>
      <c r="E5" s="72"/>
    </row>
    <row r="6" spans="1:5" ht="8.25" customHeight="1" x14ac:dyDescent="0.25">
      <c r="A6" s="78"/>
      <c r="B6" s="78"/>
      <c r="C6" s="78"/>
      <c r="D6" s="78"/>
      <c r="E6" s="78"/>
    </row>
    <row r="19" spans="1:4" x14ac:dyDescent="0.25">
      <c r="A19" s="70"/>
      <c r="B19" s="70"/>
      <c r="C19" s="70"/>
      <c r="D19" s="70"/>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19</vt:i4>
      </vt:variant>
    </vt:vector>
  </HeadingPairs>
  <TitlesOfParts>
    <vt:vector size="28" baseType="lpstr">
      <vt:lpstr>Cover Sheet</vt:lpstr>
      <vt:lpstr>History Log</vt:lpstr>
      <vt:lpstr>Test Plan</vt:lpstr>
      <vt:lpstr>Test Cases</vt:lpstr>
      <vt:lpstr>SDD-TCS Traceability</vt:lpstr>
      <vt:lpstr>References</vt:lpstr>
      <vt:lpstr>Data Completion</vt:lpstr>
      <vt:lpstr>Logic Coverage</vt:lpstr>
      <vt:lpstr>Stub Files</vt:lpstr>
      <vt:lpstr>CoverSheetRevHistDescriptions</vt:lpstr>
      <vt:lpstr>Input_Variables</vt:lpstr>
      <vt:lpstr>IRT</vt:lpstr>
      <vt:lpstr>LDRA_automation</vt:lpstr>
      <vt:lpstr>MOD_PASS_FAIL</vt:lpstr>
      <vt:lpstr>ModuleTestingActivities</vt:lpstr>
      <vt:lpstr>ModuleTestingStatus</vt:lpstr>
      <vt:lpstr>Output_Variables</vt:lpstr>
      <vt:lpstr>'Cover Sheet'!Print_Area</vt:lpstr>
      <vt:lpstr>'History Log'!Print_Area</vt:lpstr>
      <vt:lpstr>References!Print_Area</vt:lpstr>
      <vt:lpstr>'Test Cases'!Print_Area</vt:lpstr>
      <vt:lpstr>'Test Plan'!Print_Area</vt:lpstr>
      <vt:lpstr>Responsible</vt:lpstr>
      <vt:lpstr>ResponsibleFullname</vt:lpstr>
      <vt:lpstr>RIDsClassification</vt:lpstr>
      <vt:lpstr>RIDsStatus</vt:lpstr>
      <vt:lpstr>StubbingTypes</vt:lpstr>
      <vt:lpstr>TCPurposeTemplate</vt:lpstr>
    </vt:vector>
  </TitlesOfParts>
  <Company>CSWT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Module Testing Report</dc:title>
  <dc:creator>Bruno Pereira;Manuel Nordeste</dc:creator>
  <cp:lastModifiedBy>Sérgio Santos</cp:lastModifiedBy>
  <cp:lastPrinted>2013-06-28T15:26:47Z</cp:lastPrinted>
  <dcterms:created xsi:type="dcterms:W3CDTF">2009-03-06T10:41:16Z</dcterms:created>
  <dcterms:modified xsi:type="dcterms:W3CDTF">2022-09-26T14:59:16Z</dcterms:modified>
</cp:coreProperties>
</file>